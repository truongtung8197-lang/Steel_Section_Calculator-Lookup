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8CFEC940-28B7-4C78-B3AB-A74BCDFE3C51}" xr6:coauthVersionLast="47" xr6:coauthVersionMax="47" xr10:uidLastSave="{00000000-0000-0000-0000-000000000000}"/>
  <bookViews>
    <workbookView xWindow="22932" yWindow="-108" windowWidth="23256" windowHeight="13176" activeTab="3" xr2:uid="{00000000-000D-0000-FFFF-FFFF00000000}"/>
  </bookViews>
  <sheets>
    <sheet name="Sheet1" sheetId="1" r:id="rId1"/>
    <sheet name="I lib" sheetId="3" r:id="rId2"/>
    <sheet name="U lib" sheetId="2" r:id="rId3"/>
    <sheet name="HINH_VN" sheetId="5" r:id="rId4"/>
    <sheet name="Ong,Ho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6" i="6" l="1"/>
  <c r="B277" i="6"/>
  <c r="O7" i="2" l="1"/>
  <c r="O8" i="2"/>
  <c r="O9" i="2"/>
  <c r="O10" i="2"/>
  <c r="O11" i="2"/>
  <c r="O12" i="2"/>
  <c r="O13" i="2"/>
  <c r="O14" i="2"/>
  <c r="O15" i="2"/>
  <c r="O6" i="2"/>
  <c r="R7" i="2" a="1"/>
  <c r="R7" i="2" s="1"/>
  <c r="S7" i="2" a="1"/>
  <c r="S7" i="2" s="1"/>
  <c r="N7" i="2" s="1"/>
  <c r="R8" i="2" a="1"/>
  <c r="R8" i="2" s="1"/>
  <c r="S8" i="2" a="1"/>
  <c r="S8" i="2" s="1"/>
  <c r="N8" i="2" s="1"/>
  <c r="R9" i="2" a="1"/>
  <c r="R9" i="2"/>
  <c r="S9" i="2" a="1"/>
  <c r="S9" i="2" s="1"/>
  <c r="N9" i="2" s="1"/>
  <c r="R10" i="2" a="1"/>
  <c r="R10" i="2" s="1"/>
  <c r="S10" i="2" a="1"/>
  <c r="S10" i="2" s="1"/>
  <c r="N10" i="2" s="1"/>
  <c r="R11" i="2" a="1"/>
  <c r="R11" i="2" s="1"/>
  <c r="S11" i="2" a="1"/>
  <c r="S11" i="2" s="1"/>
  <c r="R12" i="2" a="1"/>
  <c r="R12" i="2"/>
  <c r="S12" i="2" a="1"/>
  <c r="S12" i="2" s="1"/>
  <c r="N12" i="2" s="1"/>
  <c r="R13" i="2" a="1"/>
  <c r="R13" i="2" s="1"/>
  <c r="S13" i="2" a="1"/>
  <c r="S13" i="2" s="1"/>
  <c r="N13" i="2" s="1"/>
  <c r="R14" i="2" a="1"/>
  <c r="R14" i="2" s="1"/>
  <c r="S14" i="2" a="1"/>
  <c r="S14" i="2" s="1"/>
  <c r="N14" i="2" s="1"/>
  <c r="R15" i="2" a="1"/>
  <c r="R15" i="2"/>
  <c r="S15" i="2" a="1"/>
  <c r="S15" i="2" s="1"/>
  <c r="N15" i="2" s="1"/>
  <c r="S6" i="2" a="1"/>
  <c r="S6" i="2" s="1"/>
  <c r="N6" i="2" s="1"/>
  <c r="R6" i="2" a="1"/>
  <c r="R6" i="2" s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N5" i="3"/>
  <c r="E5" i="3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O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 s="1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 s="1"/>
  <c r="S110" i="3" a="1"/>
  <c r="S110" i="3" s="1"/>
  <c r="S111" i="3" a="1"/>
  <c r="S111" i="3" s="1"/>
  <c r="S112" i="3" a="1"/>
  <c r="S112" i="3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 s="1"/>
  <c r="S140" i="3" a="1"/>
  <c r="S140" i="3" s="1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150" i="3" a="1"/>
  <c r="S150" i="3" s="1"/>
  <c r="S151" i="3" a="1"/>
  <c r="S151" i="3" s="1"/>
  <c r="S152" i="3" a="1"/>
  <c r="S152" i="3" s="1"/>
  <c r="S153" i="3" a="1"/>
  <c r="S153" i="3" s="1"/>
  <c r="S154" i="3" a="1"/>
  <c r="S154" i="3" s="1"/>
  <c r="S155" i="3" a="1"/>
  <c r="S155" i="3" s="1"/>
  <c r="S156" i="3" a="1"/>
  <c r="S156" i="3" s="1"/>
  <c r="S157" i="3" a="1"/>
  <c r="S157" i="3" s="1"/>
  <c r="S158" i="3" a="1"/>
  <c r="S158" i="3" s="1"/>
  <c r="S159" i="3" a="1"/>
  <c r="S159" i="3" s="1"/>
  <c r="S160" i="3" a="1"/>
  <c r="S160" i="3" s="1"/>
  <c r="S161" i="3" a="1"/>
  <c r="S161" i="3" s="1"/>
  <c r="S162" i="3" a="1"/>
  <c r="S162" i="3" s="1"/>
  <c r="S163" i="3" a="1"/>
  <c r="S163" i="3" s="1"/>
  <c r="S164" i="3" a="1"/>
  <c r="S164" i="3" s="1"/>
  <c r="S165" i="3" a="1"/>
  <c r="S165" i="3" s="1"/>
  <c r="S166" i="3" a="1"/>
  <c r="S166" i="3" s="1"/>
  <c r="S167" i="3" a="1"/>
  <c r="S167" i="3" s="1"/>
  <c r="S168" i="3" a="1"/>
  <c r="S168" i="3" s="1"/>
  <c r="S169" i="3" a="1"/>
  <c r="S169" i="3" s="1"/>
  <c r="S170" i="3" a="1"/>
  <c r="S170" i="3" s="1"/>
  <c r="S171" i="3" a="1"/>
  <c r="S171" i="3" s="1"/>
  <c r="S172" i="3" a="1"/>
  <c r="S172" i="3"/>
  <c r="S173" i="3" a="1"/>
  <c r="S173" i="3" s="1"/>
  <c r="S174" i="3" a="1"/>
  <c r="S174" i="3"/>
  <c r="S175" i="3" a="1"/>
  <c r="S175" i="3" s="1"/>
  <c r="S176" i="3" a="1"/>
  <c r="S176" i="3" s="1"/>
  <c r="S177" i="3" a="1"/>
  <c r="S177" i="3" s="1"/>
  <c r="S178" i="3" a="1"/>
  <c r="S178" i="3" s="1"/>
  <c r="S179" i="3" a="1"/>
  <c r="S179" i="3" s="1"/>
  <c r="S180" i="3" a="1"/>
  <c r="S180" i="3" s="1"/>
  <c r="S181" i="3" a="1"/>
  <c r="S181" i="3" s="1"/>
  <c r="S182" i="3" a="1"/>
  <c r="S182" i="3" s="1"/>
  <c r="S183" i="3" a="1"/>
  <c r="S183" i="3" s="1"/>
  <c r="S184" i="3" a="1"/>
  <c r="S184" i="3" s="1"/>
  <c r="S185" i="3" a="1"/>
  <c r="S185" i="3" s="1"/>
  <c r="S186" i="3" a="1"/>
  <c r="S186" i="3" s="1"/>
  <c r="O186" i="3" s="1"/>
  <c r="S187" i="3" a="1"/>
  <c r="S187" i="3" s="1"/>
  <c r="S188" i="3" a="1"/>
  <c r="S188" i="3" s="1"/>
  <c r="S189" i="3" a="1"/>
  <c r="S189" i="3" s="1"/>
  <c r="S190" i="3" a="1"/>
  <c r="S190" i="3"/>
  <c r="S191" i="3" a="1"/>
  <c r="S191" i="3" s="1"/>
  <c r="S192" i="3" a="1"/>
  <c r="S192" i="3"/>
  <c r="S193" i="3" a="1"/>
  <c r="S193" i="3" s="1"/>
  <c r="S194" i="3" a="1"/>
  <c r="S194" i="3" s="1"/>
  <c r="S195" i="3" a="1"/>
  <c r="S195" i="3" s="1"/>
  <c r="S196" i="3" a="1"/>
  <c r="S196" i="3" s="1"/>
  <c r="S197" i="3" a="1"/>
  <c r="S197" i="3" s="1"/>
  <c r="S198" i="3" a="1"/>
  <c r="S198" i="3" s="1"/>
  <c r="S199" i="3" a="1"/>
  <c r="S199" i="3" s="1"/>
  <c r="S200" i="3" a="1"/>
  <c r="S200" i="3" s="1"/>
  <c r="S201" i="3" a="1"/>
  <c r="S201" i="3" s="1"/>
  <c r="S202" i="3" a="1"/>
  <c r="S202" i="3" s="1"/>
  <c r="S203" i="3" a="1"/>
  <c r="S203" i="3" s="1"/>
  <c r="S204" i="3" a="1"/>
  <c r="S204" i="3" s="1"/>
  <c r="O204" i="3" s="1"/>
  <c r="S205" i="3" a="1"/>
  <c r="S205" i="3" s="1"/>
  <c r="S206" i="3" a="1"/>
  <c r="S206" i="3" s="1"/>
  <c r="S207" i="3" a="1"/>
  <c r="S207" i="3" s="1"/>
  <c r="S208" i="3" a="1"/>
  <c r="S208" i="3" s="1"/>
  <c r="S209" i="3" a="1"/>
  <c r="S209" i="3" s="1"/>
  <c r="S210" i="3" a="1"/>
  <c r="S210" i="3"/>
  <c r="S211" i="3" a="1"/>
  <c r="S211" i="3" s="1"/>
  <c r="S212" i="3" a="1"/>
  <c r="S212" i="3" s="1"/>
  <c r="S213" i="3" a="1"/>
  <c r="S213" i="3" s="1"/>
  <c r="S214" i="3" a="1"/>
  <c r="S214" i="3" s="1"/>
  <c r="S215" i="3" a="1"/>
  <c r="S215" i="3" s="1"/>
  <c r="S216" i="3" a="1"/>
  <c r="S216" i="3" s="1"/>
  <c r="S217" i="3" a="1"/>
  <c r="S217" i="3" s="1"/>
  <c r="S218" i="3" a="1"/>
  <c r="S218" i="3" s="1"/>
  <c r="S219" i="3" a="1"/>
  <c r="S219" i="3" s="1"/>
  <c r="S220" i="3" a="1"/>
  <c r="S220" i="3" s="1"/>
  <c r="S221" i="3" a="1"/>
  <c r="S221" i="3" s="1"/>
  <c r="S222" i="3" a="1"/>
  <c r="S222" i="3" s="1"/>
  <c r="S223" i="3" a="1"/>
  <c r="S223" i="3" s="1"/>
  <c r="S224" i="3" a="1"/>
  <c r="S224" i="3" s="1"/>
  <c r="S225" i="3" a="1"/>
  <c r="S225" i="3" s="1"/>
  <c r="S226" i="3" a="1"/>
  <c r="S226" i="3"/>
  <c r="S227" i="3" a="1"/>
  <c r="S227" i="3" s="1"/>
  <c r="S228" i="3" a="1"/>
  <c r="S228" i="3" s="1"/>
  <c r="S229" i="3" a="1"/>
  <c r="S229" i="3" s="1"/>
  <c r="S230" i="3" a="1"/>
  <c r="S230" i="3" s="1"/>
  <c r="S231" i="3" a="1"/>
  <c r="S231" i="3" s="1"/>
  <c r="S232" i="3" a="1"/>
  <c r="S232" i="3" s="1"/>
  <c r="S233" i="3" a="1"/>
  <c r="S233" i="3" s="1"/>
  <c r="S234" i="3" a="1"/>
  <c r="S234" i="3" s="1"/>
  <c r="S235" i="3" a="1"/>
  <c r="S235" i="3" s="1"/>
  <c r="S236" i="3" a="1"/>
  <c r="S236" i="3" s="1"/>
  <c r="S237" i="3" a="1"/>
  <c r="S237" i="3" s="1"/>
  <c r="S238" i="3" a="1"/>
  <c r="S238" i="3" s="1"/>
  <c r="S239" i="3" a="1"/>
  <c r="S239" i="3" s="1"/>
  <c r="S240" i="3" a="1"/>
  <c r="S240" i="3"/>
  <c r="S241" i="3" a="1"/>
  <c r="S241" i="3" s="1"/>
  <c r="S242" i="3" a="1"/>
  <c r="S242" i="3" s="1"/>
  <c r="S243" i="3" a="1"/>
  <c r="S243" i="3" s="1"/>
  <c r="S244" i="3" a="1"/>
  <c r="S244" i="3"/>
  <c r="S245" i="3" a="1"/>
  <c r="S245" i="3" s="1"/>
  <c r="S246" i="3" a="1"/>
  <c r="S246" i="3"/>
  <c r="S247" i="3" a="1"/>
  <c r="S247" i="3" s="1"/>
  <c r="S248" i="3" a="1"/>
  <c r="S248" i="3" s="1"/>
  <c r="S249" i="3" a="1"/>
  <c r="S249" i="3" s="1"/>
  <c r="S250" i="3" a="1"/>
  <c r="S250" i="3" s="1"/>
  <c r="S251" i="3" a="1"/>
  <c r="S251" i="3" s="1"/>
  <c r="S252" i="3" a="1"/>
  <c r="S252" i="3" s="1"/>
  <c r="S253" i="3" a="1"/>
  <c r="S253" i="3" s="1"/>
  <c r="S254" i="3" a="1"/>
  <c r="S254" i="3" s="1"/>
  <c r="S255" i="3" a="1"/>
  <c r="S255" i="3" s="1"/>
  <c r="S256" i="3" a="1"/>
  <c r="S256" i="3" s="1"/>
  <c r="S257" i="3" a="1"/>
  <c r="S257" i="3" s="1"/>
  <c r="S258" i="3" a="1"/>
  <c r="S258" i="3"/>
  <c r="S259" i="3" a="1"/>
  <c r="S259" i="3" s="1"/>
  <c r="S260" i="3" a="1"/>
  <c r="S260" i="3" s="1"/>
  <c r="S261" i="3" a="1"/>
  <c r="S261" i="3" s="1"/>
  <c r="S262" i="3" a="1"/>
  <c r="S262" i="3" s="1"/>
  <c r="S263" i="3" a="1"/>
  <c r="S263" i="3" s="1"/>
  <c r="S264" i="3" a="1"/>
  <c r="S264" i="3" s="1"/>
  <c r="S265" i="3" a="1"/>
  <c r="S265" i="3" s="1"/>
  <c r="S266" i="3" a="1"/>
  <c r="S266" i="3" s="1"/>
  <c r="S267" i="3" a="1"/>
  <c r="S267" i="3" s="1"/>
  <c r="S268" i="3" a="1"/>
  <c r="S268" i="3" s="1"/>
  <c r="S269" i="3" a="1"/>
  <c r="S269" i="3" s="1"/>
  <c r="S270" i="3" a="1"/>
  <c r="S270" i="3" s="1"/>
  <c r="S271" i="3" a="1"/>
  <c r="S271" i="3" s="1"/>
  <c r="S272" i="3" a="1"/>
  <c r="S272" i="3" s="1"/>
  <c r="S273" i="3" a="1"/>
  <c r="S273" i="3" s="1"/>
  <c r="S274" i="3" a="1"/>
  <c r="S274" i="3" s="1"/>
  <c r="S275" i="3" a="1"/>
  <c r="S275" i="3" s="1"/>
  <c r="S276" i="3" a="1"/>
  <c r="S276" i="3" s="1"/>
  <c r="S277" i="3" a="1"/>
  <c r="S277" i="3" s="1"/>
  <c r="S278" i="3" a="1"/>
  <c r="S278" i="3" s="1"/>
  <c r="S279" i="3" a="1"/>
  <c r="S279" i="3" s="1"/>
  <c r="S280" i="3" a="1"/>
  <c r="S280" i="3" s="1"/>
  <c r="S281" i="3" a="1"/>
  <c r="S281" i="3" s="1"/>
  <c r="S282" i="3" a="1"/>
  <c r="S282" i="3" s="1"/>
  <c r="S283" i="3" a="1"/>
  <c r="S283" i="3" s="1"/>
  <c r="S284" i="3" a="1"/>
  <c r="S284" i="3" s="1"/>
  <c r="S285" i="3" a="1"/>
  <c r="S285" i="3" s="1"/>
  <c r="S286" i="3" a="1"/>
  <c r="S286" i="3" s="1"/>
  <c r="S287" i="3" a="1"/>
  <c r="S287" i="3" s="1"/>
  <c r="S288" i="3" a="1"/>
  <c r="S288" i="3" s="1"/>
  <c r="S289" i="3" a="1"/>
  <c r="S289" i="3" s="1"/>
  <c r="S290" i="3" a="1"/>
  <c r="S290" i="3" s="1"/>
  <c r="S291" i="3" a="1"/>
  <c r="S291" i="3" s="1"/>
  <c r="S292" i="3" a="1"/>
  <c r="S292" i="3" s="1"/>
  <c r="S293" i="3" a="1"/>
  <c r="S293" i="3" s="1"/>
  <c r="S294" i="3" a="1"/>
  <c r="S294" i="3" s="1"/>
  <c r="S295" i="3" a="1"/>
  <c r="S295" i="3" s="1"/>
  <c r="S296" i="3" a="1"/>
  <c r="S296" i="3" s="1"/>
  <c r="S297" i="3" a="1"/>
  <c r="S297" i="3" s="1"/>
  <c r="S298" i="3" a="1"/>
  <c r="S298" i="3" s="1"/>
  <c r="S299" i="3" a="1"/>
  <c r="S299" i="3" s="1"/>
  <c r="S300" i="3" a="1"/>
  <c r="S300" i="3" s="1"/>
  <c r="S301" i="3" a="1"/>
  <c r="S301" i="3" s="1"/>
  <c r="S302" i="3" a="1"/>
  <c r="S302" i="3" s="1"/>
  <c r="S303" i="3" a="1"/>
  <c r="S303" i="3" s="1"/>
  <c r="S304" i="3" a="1"/>
  <c r="S304" i="3" s="1"/>
  <c r="S305" i="3" a="1"/>
  <c r="S305" i="3" s="1"/>
  <c r="S306" i="3" a="1"/>
  <c r="S306" i="3" s="1"/>
  <c r="S307" i="3" a="1"/>
  <c r="S307" i="3" s="1"/>
  <c r="S308" i="3" a="1"/>
  <c r="S308" i="3" s="1"/>
  <c r="S309" i="3" a="1"/>
  <c r="S309" i="3" s="1"/>
  <c r="S310" i="3" a="1"/>
  <c r="S310" i="3" s="1"/>
  <c r="S311" i="3" a="1"/>
  <c r="S311" i="3" s="1"/>
  <c r="S312" i="3" a="1"/>
  <c r="S312" i="3" s="1"/>
  <c r="S313" i="3" a="1"/>
  <c r="S313" i="3" s="1"/>
  <c r="S314" i="3" a="1"/>
  <c r="S314" i="3" s="1"/>
  <c r="S315" i="3" a="1"/>
  <c r="S315" i="3" s="1"/>
  <c r="S316" i="3" a="1"/>
  <c r="S316" i="3" s="1"/>
  <c r="S317" i="3" a="1"/>
  <c r="S317" i="3" s="1"/>
  <c r="S318" i="3" a="1"/>
  <c r="S318" i="3" s="1"/>
  <c r="S319" i="3" a="1"/>
  <c r="S319" i="3" s="1"/>
  <c r="S320" i="3" a="1"/>
  <c r="S320" i="3" s="1"/>
  <c r="S321" i="3" a="1"/>
  <c r="S321" i="3" s="1"/>
  <c r="S322" i="3" a="1"/>
  <c r="S322" i="3" s="1"/>
  <c r="S323" i="3" a="1"/>
  <c r="S323" i="3" s="1"/>
  <c r="S324" i="3" a="1"/>
  <c r="S324" i="3" s="1"/>
  <c r="S325" i="3" a="1"/>
  <c r="S325" i="3" s="1"/>
  <c r="S326" i="3" a="1"/>
  <c r="S326" i="3" s="1"/>
  <c r="S327" i="3" a="1"/>
  <c r="S327" i="3" s="1"/>
  <c r="S328" i="3" a="1"/>
  <c r="S328" i="3" s="1"/>
  <c r="S329" i="3" a="1"/>
  <c r="S329" i="3" s="1"/>
  <c r="S330" i="3" a="1"/>
  <c r="S330" i="3"/>
  <c r="S331" i="3" a="1"/>
  <c r="S331" i="3" s="1"/>
  <c r="S332" i="3" a="1"/>
  <c r="S332" i="3" s="1"/>
  <c r="S333" i="3" a="1"/>
  <c r="S333" i="3" s="1"/>
  <c r="S334" i="3" a="1"/>
  <c r="S334" i="3" s="1"/>
  <c r="S335" i="3" a="1"/>
  <c r="S335" i="3" s="1"/>
  <c r="S336" i="3" a="1"/>
  <c r="S336" i="3" s="1"/>
  <c r="S337" i="3" a="1"/>
  <c r="S337" i="3" s="1"/>
  <c r="S338" i="3" a="1"/>
  <c r="S338" i="3" s="1"/>
  <c r="S339" i="3" a="1"/>
  <c r="S339" i="3" s="1"/>
  <c r="S340" i="3" a="1"/>
  <c r="S340" i="3" s="1"/>
  <c r="S341" i="3" a="1"/>
  <c r="S341" i="3" s="1"/>
  <c r="S342" i="3" a="1"/>
  <c r="S342" i="3" s="1"/>
  <c r="S343" i="3" a="1"/>
  <c r="S343" i="3" s="1"/>
  <c r="S344" i="3" a="1"/>
  <c r="S344" i="3" s="1"/>
  <c r="S345" i="3" a="1"/>
  <c r="S345" i="3" s="1"/>
  <c r="S346" i="3" a="1"/>
  <c r="S346" i="3" s="1"/>
  <c r="S347" i="3" a="1"/>
  <c r="S347" i="3" s="1"/>
  <c r="S348" i="3" a="1"/>
  <c r="S348" i="3"/>
  <c r="S349" i="3" a="1"/>
  <c r="S349" i="3" s="1"/>
  <c r="S350" i="3" a="1"/>
  <c r="S350" i="3" s="1"/>
  <c r="S351" i="3" a="1"/>
  <c r="S351" i="3" s="1"/>
  <c r="S352" i="3" a="1"/>
  <c r="S352" i="3" s="1"/>
  <c r="S353" i="3" a="1"/>
  <c r="S353" i="3" s="1"/>
  <c r="S354" i="3" a="1"/>
  <c r="S354" i="3" s="1"/>
  <c r="S355" i="3" a="1"/>
  <c r="S355" i="3" s="1"/>
  <c r="S356" i="3" a="1"/>
  <c r="S356" i="3" s="1"/>
  <c r="S357" i="3" a="1"/>
  <c r="S357" i="3" s="1"/>
  <c r="S358" i="3" a="1"/>
  <c r="S358" i="3" s="1"/>
  <c r="S359" i="3" a="1"/>
  <c r="S359" i="3" s="1"/>
  <c r="S360" i="3" a="1"/>
  <c r="S360" i="3" s="1"/>
  <c r="S361" i="3" a="1"/>
  <c r="S361" i="3" s="1"/>
  <c r="S362" i="3" a="1"/>
  <c r="S362" i="3" s="1"/>
  <c r="S363" i="3" a="1"/>
  <c r="S363" i="3" s="1"/>
  <c r="S364" i="3" a="1"/>
  <c r="S364" i="3" s="1"/>
  <c r="S365" i="3" a="1"/>
  <c r="S365" i="3" s="1"/>
  <c r="S366" i="3" a="1"/>
  <c r="S366" i="3" s="1"/>
  <c r="S367" i="3" a="1"/>
  <c r="S367" i="3" s="1"/>
  <c r="S368" i="3" a="1"/>
  <c r="S368" i="3" s="1"/>
  <c r="S369" i="3" a="1"/>
  <c r="S369" i="3" s="1"/>
  <c r="S370" i="3" a="1"/>
  <c r="S370" i="3" s="1"/>
  <c r="S371" i="3" a="1"/>
  <c r="S371" i="3" s="1"/>
  <c r="S372" i="3" a="1"/>
  <c r="S372" i="3" s="1"/>
  <c r="S373" i="3" a="1"/>
  <c r="S373" i="3" s="1"/>
  <c r="S374" i="3" a="1"/>
  <c r="S374" i="3" s="1"/>
  <c r="S375" i="3" a="1"/>
  <c r="S375" i="3" s="1"/>
  <c r="S376" i="3" a="1"/>
  <c r="S376" i="3" s="1"/>
  <c r="S377" i="3" a="1"/>
  <c r="S377" i="3" s="1"/>
  <c r="S378" i="3" a="1"/>
  <c r="S378" i="3" s="1"/>
  <c r="S379" i="3" a="1"/>
  <c r="S379" i="3" s="1"/>
  <c r="S380" i="3" a="1"/>
  <c r="S380" i="3" s="1"/>
  <c r="S381" i="3" a="1"/>
  <c r="S381" i="3" s="1"/>
  <c r="S382" i="3" a="1"/>
  <c r="S382" i="3" s="1"/>
  <c r="S383" i="3" a="1"/>
  <c r="S383" i="3" s="1"/>
  <c r="S384" i="3" a="1"/>
  <c r="S384" i="3" s="1"/>
  <c r="S385" i="3" a="1"/>
  <c r="S385" i="3" s="1"/>
  <c r="S386" i="3" a="1"/>
  <c r="S386" i="3" s="1"/>
  <c r="S387" i="3" a="1"/>
  <c r="S387" i="3" s="1"/>
  <c r="S388" i="3" a="1"/>
  <c r="S388" i="3" s="1"/>
  <c r="S389" i="3" a="1"/>
  <c r="S389" i="3" s="1"/>
  <c r="S390" i="3" a="1"/>
  <c r="S390" i="3" s="1"/>
  <c r="S391" i="3" a="1"/>
  <c r="S391" i="3" s="1"/>
  <c r="S392" i="3" a="1"/>
  <c r="S392" i="3" s="1"/>
  <c r="S393" i="3" a="1"/>
  <c r="S393" i="3" s="1"/>
  <c r="S394" i="3" a="1"/>
  <c r="S394" i="3" s="1"/>
  <c r="S395" i="3" a="1"/>
  <c r="S395" i="3" s="1"/>
  <c r="S396" i="3" a="1"/>
  <c r="S396" i="3" s="1"/>
  <c r="S397" i="3" a="1"/>
  <c r="S397" i="3" s="1"/>
  <c r="S398" i="3" a="1"/>
  <c r="S398" i="3" s="1"/>
  <c r="S399" i="3" a="1"/>
  <c r="S399" i="3" s="1"/>
  <c r="S400" i="3" a="1"/>
  <c r="S400" i="3" s="1"/>
  <c r="S401" i="3" a="1"/>
  <c r="S401" i="3" s="1"/>
  <c r="S402" i="3" a="1"/>
  <c r="S402" i="3" s="1"/>
  <c r="S403" i="3" a="1"/>
  <c r="S403" i="3" s="1"/>
  <c r="S404" i="3" a="1"/>
  <c r="S404" i="3" s="1"/>
  <c r="S405" i="3" a="1"/>
  <c r="S405" i="3" s="1"/>
  <c r="S406" i="3" a="1"/>
  <c r="S406" i="3" s="1"/>
  <c r="S407" i="3" a="1"/>
  <c r="S407" i="3" s="1"/>
  <c r="S408" i="3" a="1"/>
  <c r="S408" i="3" s="1"/>
  <c r="S409" i="3" a="1"/>
  <c r="S409" i="3" s="1"/>
  <c r="S410" i="3" a="1"/>
  <c r="S410" i="3" s="1"/>
  <c r="S411" i="3" a="1"/>
  <c r="S411" i="3" s="1"/>
  <c r="S412" i="3" a="1"/>
  <c r="S412" i="3" s="1"/>
  <c r="S413" i="3" a="1"/>
  <c r="S413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 s="1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R22" i="3" a="1"/>
  <c r="R22" i="3" s="1"/>
  <c r="R23" i="3" a="1"/>
  <c r="R23" i="3" s="1"/>
  <c r="R24" i="3" a="1"/>
  <c r="R24" i="3" s="1"/>
  <c r="R25" i="3" a="1"/>
  <c r="R25" i="3" s="1"/>
  <c r="R26" i="3" a="1"/>
  <c r="R26" i="3" s="1"/>
  <c r="R27" i="3" a="1"/>
  <c r="R27" i="3" s="1"/>
  <c r="R28" i="3" a="1"/>
  <c r="R28" i="3" s="1"/>
  <c r="R29" i="3" a="1"/>
  <c r="R29" i="3" s="1"/>
  <c r="R30" i="3" a="1"/>
  <c r="R30" i="3" s="1"/>
  <c r="R31" i="3" a="1"/>
  <c r="R31" i="3" s="1"/>
  <c r="R32" i="3" a="1"/>
  <c r="R32" i="3" s="1"/>
  <c r="R33" i="3" a="1"/>
  <c r="R33" i="3" s="1"/>
  <c r="R34" i="3" a="1"/>
  <c r="R34" i="3" s="1"/>
  <c r="R35" i="3" a="1"/>
  <c r="R35" i="3" s="1"/>
  <c r="R36" i="3" a="1"/>
  <c r="R36" i="3" s="1"/>
  <c r="R37" i="3" a="1"/>
  <c r="R37" i="3" s="1"/>
  <c r="R38" i="3" a="1"/>
  <c r="R38" i="3" s="1"/>
  <c r="R39" i="3" a="1"/>
  <c r="R39" i="3" s="1"/>
  <c r="R40" i="3" a="1"/>
  <c r="R40" i="3" s="1"/>
  <c r="R41" i="3" a="1"/>
  <c r="R41" i="3" s="1"/>
  <c r="R42" i="3" a="1"/>
  <c r="R42" i="3" s="1"/>
  <c r="R43" i="3" a="1"/>
  <c r="R43" i="3" s="1"/>
  <c r="R44" i="3" a="1"/>
  <c r="R44" i="3" s="1"/>
  <c r="R45" i="3" a="1"/>
  <c r="R45" i="3" s="1"/>
  <c r="R46" i="3" a="1"/>
  <c r="R46" i="3" s="1"/>
  <c r="R47" i="3" a="1"/>
  <c r="R47" i="3" s="1"/>
  <c r="R48" i="3" a="1"/>
  <c r="R48" i="3" s="1"/>
  <c r="R49" i="3" a="1"/>
  <c r="R49" i="3" s="1"/>
  <c r="R50" i="3" a="1"/>
  <c r="R50" i="3" s="1"/>
  <c r="R51" i="3" a="1"/>
  <c r="R51" i="3" s="1"/>
  <c r="R52" i="3" a="1"/>
  <c r="R52" i="3" s="1"/>
  <c r="R53" i="3" a="1"/>
  <c r="R53" i="3" s="1"/>
  <c r="R54" i="3" a="1"/>
  <c r="R54" i="3" s="1"/>
  <c r="R55" i="3" a="1"/>
  <c r="R55" i="3" s="1"/>
  <c r="R56" i="3" a="1"/>
  <c r="R56" i="3" s="1"/>
  <c r="R57" i="3" a="1"/>
  <c r="R57" i="3" s="1"/>
  <c r="R58" i="3" a="1"/>
  <c r="R58" i="3" s="1"/>
  <c r="R59" i="3" a="1"/>
  <c r="R59" i="3" s="1"/>
  <c r="R60" i="3" a="1"/>
  <c r="R60" i="3" s="1"/>
  <c r="R61" i="3" a="1"/>
  <c r="R61" i="3" s="1"/>
  <c r="R62" i="3" a="1"/>
  <c r="R62" i="3" s="1"/>
  <c r="R63" i="3" a="1"/>
  <c r="R63" i="3" s="1"/>
  <c r="R64" i="3" a="1"/>
  <c r="R64" i="3" s="1"/>
  <c r="R65" i="3" a="1"/>
  <c r="R65" i="3" s="1"/>
  <c r="R66" i="3" a="1"/>
  <c r="R66" i="3" s="1"/>
  <c r="R67" i="3" a="1"/>
  <c r="R67" i="3" s="1"/>
  <c r="R68" i="3" a="1"/>
  <c r="R68" i="3" s="1"/>
  <c r="R69" i="3" a="1"/>
  <c r="R69" i="3" s="1"/>
  <c r="R70" i="3" a="1"/>
  <c r="R70" i="3" s="1"/>
  <c r="R71" i="3" a="1"/>
  <c r="R71" i="3" s="1"/>
  <c r="R72" i="3" a="1"/>
  <c r="R72" i="3" s="1"/>
  <c r="R73" i="3" a="1"/>
  <c r="R73" i="3" s="1"/>
  <c r="R74" i="3" a="1"/>
  <c r="R74" i="3" s="1"/>
  <c r="R75" i="3" a="1"/>
  <c r="R75" i="3" s="1"/>
  <c r="R76" i="3" a="1"/>
  <c r="R76" i="3" s="1"/>
  <c r="R77" i="3" a="1"/>
  <c r="R77" i="3" s="1"/>
  <c r="R78" i="3" a="1"/>
  <c r="R78" i="3" s="1"/>
  <c r="R79" i="3" a="1"/>
  <c r="R79" i="3" s="1"/>
  <c r="R80" i="3" a="1"/>
  <c r="R80" i="3" s="1"/>
  <c r="R81" i="3" a="1"/>
  <c r="R81" i="3" s="1"/>
  <c r="R82" i="3" a="1"/>
  <c r="R82" i="3" s="1"/>
  <c r="R83" i="3" a="1"/>
  <c r="R83" i="3" s="1"/>
  <c r="R84" i="3" a="1"/>
  <c r="R84" i="3" s="1"/>
  <c r="R85" i="3" a="1"/>
  <c r="R85" i="3" s="1"/>
  <c r="R86" i="3" a="1"/>
  <c r="R86" i="3" s="1"/>
  <c r="R87" i="3" a="1"/>
  <c r="R87" i="3" s="1"/>
  <c r="R88" i="3" a="1"/>
  <c r="R88" i="3" s="1"/>
  <c r="R89" i="3" a="1"/>
  <c r="R89" i="3" s="1"/>
  <c r="R90" i="3" a="1"/>
  <c r="R90" i="3" s="1"/>
  <c r="R91" i="3" a="1"/>
  <c r="R91" i="3" s="1"/>
  <c r="R92" i="3" a="1"/>
  <c r="R92" i="3" s="1"/>
  <c r="R93" i="3" a="1"/>
  <c r="R93" i="3" s="1"/>
  <c r="R94" i="3" a="1"/>
  <c r="R94" i="3" s="1"/>
  <c r="R95" i="3" a="1"/>
  <c r="R95" i="3" s="1"/>
  <c r="R96" i="3" a="1"/>
  <c r="R96" i="3" s="1"/>
  <c r="R97" i="3" a="1"/>
  <c r="R97" i="3" s="1"/>
  <c r="R98" i="3" a="1"/>
  <c r="R98" i="3" s="1"/>
  <c r="R99" i="3" a="1"/>
  <c r="R99" i="3" s="1"/>
  <c r="R100" i="3" a="1"/>
  <c r="R100" i="3" s="1"/>
  <c r="R101" i="3" a="1"/>
  <c r="R101" i="3" s="1"/>
  <c r="R102" i="3" a="1"/>
  <c r="R102" i="3" s="1"/>
  <c r="R103" i="3" a="1"/>
  <c r="R103" i="3" s="1"/>
  <c r="R104" i="3" a="1"/>
  <c r="R104" i="3" s="1"/>
  <c r="R105" i="3" a="1"/>
  <c r="R105" i="3" s="1"/>
  <c r="R106" i="3" a="1"/>
  <c r="R106" i="3" s="1"/>
  <c r="R107" i="3" a="1"/>
  <c r="R107" i="3" s="1"/>
  <c r="R108" i="3" a="1"/>
  <c r="R108" i="3" s="1"/>
  <c r="R109" i="3" a="1"/>
  <c r="R109" i="3" s="1"/>
  <c r="R110" i="3" a="1"/>
  <c r="R110" i="3" s="1"/>
  <c r="R111" i="3" a="1"/>
  <c r="R111" i="3" s="1"/>
  <c r="R112" i="3" a="1"/>
  <c r="R112" i="3" s="1"/>
  <c r="R113" i="3" a="1"/>
  <c r="R113" i="3" s="1"/>
  <c r="R114" i="3" a="1"/>
  <c r="R114" i="3" s="1"/>
  <c r="R115" i="3" a="1"/>
  <c r="R115" i="3" s="1"/>
  <c r="R116" i="3" a="1"/>
  <c r="R116" i="3" s="1"/>
  <c r="R117" i="3" a="1"/>
  <c r="R117" i="3" s="1"/>
  <c r="R118" i="3" a="1"/>
  <c r="R118" i="3" s="1"/>
  <c r="R119" i="3" a="1"/>
  <c r="R119" i="3" s="1"/>
  <c r="R120" i="3" a="1"/>
  <c r="R120" i="3" s="1"/>
  <c r="R121" i="3" a="1"/>
  <c r="R121" i="3" s="1"/>
  <c r="R122" i="3" a="1"/>
  <c r="R122" i="3" s="1"/>
  <c r="R123" i="3" a="1"/>
  <c r="R123" i="3" s="1"/>
  <c r="R124" i="3" a="1"/>
  <c r="R124" i="3" s="1"/>
  <c r="R125" i="3" a="1"/>
  <c r="R125" i="3" s="1"/>
  <c r="R126" i="3" a="1"/>
  <c r="R126" i="3" s="1"/>
  <c r="R127" i="3" a="1"/>
  <c r="R127" i="3" s="1"/>
  <c r="R128" i="3" a="1"/>
  <c r="R128" i="3" s="1"/>
  <c r="R129" i="3" a="1"/>
  <c r="R129" i="3" s="1"/>
  <c r="R130" i="3" a="1"/>
  <c r="R130" i="3" s="1"/>
  <c r="R131" i="3" a="1"/>
  <c r="R131" i="3" s="1"/>
  <c r="R132" i="3" a="1"/>
  <c r="R132" i="3" s="1"/>
  <c r="R133" i="3" a="1"/>
  <c r="R133" i="3" s="1"/>
  <c r="R134" i="3" a="1"/>
  <c r="R134" i="3" s="1"/>
  <c r="R135" i="3" a="1"/>
  <c r="R135" i="3" s="1"/>
  <c r="R136" i="3" a="1"/>
  <c r="R136" i="3" s="1"/>
  <c r="R137" i="3" a="1"/>
  <c r="R137" i="3" s="1"/>
  <c r="R138" i="3" a="1"/>
  <c r="R138" i="3" s="1"/>
  <c r="R139" i="3" a="1"/>
  <c r="R139" i="3" s="1"/>
  <c r="R140" i="3" a="1"/>
  <c r="R140" i="3" s="1"/>
  <c r="R141" i="3" a="1"/>
  <c r="R141" i="3" s="1"/>
  <c r="R142" i="3" a="1"/>
  <c r="R142" i="3" s="1"/>
  <c r="R143" i="3" a="1"/>
  <c r="R143" i="3" s="1"/>
  <c r="R144" i="3" a="1"/>
  <c r="R144" i="3" s="1"/>
  <c r="R145" i="3" a="1"/>
  <c r="R145" i="3" s="1"/>
  <c r="R146" i="3" a="1"/>
  <c r="R146" i="3" s="1"/>
  <c r="R147" i="3" a="1"/>
  <c r="R147" i="3"/>
  <c r="R148" i="3" a="1"/>
  <c r="R148" i="3" s="1"/>
  <c r="R149" i="3" a="1"/>
  <c r="R149" i="3" s="1"/>
  <c r="R150" i="3" a="1"/>
  <c r="R150" i="3" s="1"/>
  <c r="R151" i="3" a="1"/>
  <c r="R151" i="3" s="1"/>
  <c r="R152" i="3" a="1"/>
  <c r="R152" i="3" s="1"/>
  <c r="R153" i="3" a="1"/>
  <c r="R153" i="3" s="1"/>
  <c r="R154" i="3" a="1"/>
  <c r="R154" i="3" s="1"/>
  <c r="R155" i="3" a="1"/>
  <c r="R155" i="3" s="1"/>
  <c r="R156" i="3" a="1"/>
  <c r="R156" i="3" s="1"/>
  <c r="R157" i="3" a="1"/>
  <c r="R157" i="3" s="1"/>
  <c r="R158" i="3" a="1"/>
  <c r="R158" i="3" s="1"/>
  <c r="R159" i="3" a="1"/>
  <c r="R159" i="3" s="1"/>
  <c r="R160" i="3" a="1"/>
  <c r="R160" i="3" s="1"/>
  <c r="R161" i="3" a="1"/>
  <c r="R161" i="3" s="1"/>
  <c r="R162" i="3" a="1"/>
  <c r="R162" i="3" s="1"/>
  <c r="R163" i="3" a="1"/>
  <c r="R163" i="3" s="1"/>
  <c r="R164" i="3" a="1"/>
  <c r="R164" i="3" s="1"/>
  <c r="R165" i="3" a="1"/>
  <c r="R165" i="3"/>
  <c r="R166" i="3" a="1"/>
  <c r="R166" i="3" s="1"/>
  <c r="R167" i="3" a="1"/>
  <c r="R167" i="3" s="1"/>
  <c r="R168" i="3" a="1"/>
  <c r="R168" i="3" s="1"/>
  <c r="R169" i="3" a="1"/>
  <c r="R169" i="3" s="1"/>
  <c r="R170" i="3" a="1"/>
  <c r="R170" i="3" s="1"/>
  <c r="R171" i="3" a="1"/>
  <c r="R171" i="3" s="1"/>
  <c r="R172" i="3" a="1"/>
  <c r="R172" i="3" s="1"/>
  <c r="R173" i="3" a="1"/>
  <c r="R173" i="3" s="1"/>
  <c r="R174" i="3" a="1"/>
  <c r="R174" i="3" s="1"/>
  <c r="R175" i="3" a="1"/>
  <c r="R175" i="3" s="1"/>
  <c r="R176" i="3" a="1"/>
  <c r="R176" i="3" s="1"/>
  <c r="R177" i="3" a="1"/>
  <c r="R177" i="3" s="1"/>
  <c r="R178" i="3" a="1"/>
  <c r="R178" i="3" s="1"/>
  <c r="R179" i="3" a="1"/>
  <c r="R179" i="3" s="1"/>
  <c r="R180" i="3" a="1"/>
  <c r="R180" i="3" s="1"/>
  <c r="R181" i="3" a="1"/>
  <c r="R181" i="3" s="1"/>
  <c r="R182" i="3" a="1"/>
  <c r="R182" i="3" s="1"/>
  <c r="R183" i="3" a="1"/>
  <c r="R183" i="3"/>
  <c r="R184" i="3" a="1"/>
  <c r="R184" i="3" s="1"/>
  <c r="R185" i="3" a="1"/>
  <c r="R185" i="3" s="1"/>
  <c r="R186" i="3" a="1"/>
  <c r="R186" i="3" s="1"/>
  <c r="R187" i="3" a="1"/>
  <c r="R187" i="3" s="1"/>
  <c r="R188" i="3" a="1"/>
  <c r="R188" i="3" s="1"/>
  <c r="R189" i="3" a="1"/>
  <c r="R189" i="3" s="1"/>
  <c r="R190" i="3" a="1"/>
  <c r="R190" i="3" s="1"/>
  <c r="R191" i="3" a="1"/>
  <c r="R191" i="3" s="1"/>
  <c r="R192" i="3" a="1"/>
  <c r="R192" i="3" s="1"/>
  <c r="R193" i="3" a="1"/>
  <c r="R193" i="3" s="1"/>
  <c r="R194" i="3" a="1"/>
  <c r="R194" i="3" s="1"/>
  <c r="R195" i="3" a="1"/>
  <c r="R195" i="3" s="1"/>
  <c r="R196" i="3" a="1"/>
  <c r="R196" i="3" s="1"/>
  <c r="R197" i="3" a="1"/>
  <c r="R197" i="3" s="1"/>
  <c r="R198" i="3" a="1"/>
  <c r="R198" i="3" s="1"/>
  <c r="R199" i="3" a="1"/>
  <c r="R199" i="3" s="1"/>
  <c r="R200" i="3" a="1"/>
  <c r="R200" i="3" s="1"/>
  <c r="R201" i="3" a="1"/>
  <c r="R201" i="3" s="1"/>
  <c r="R202" i="3" a="1"/>
  <c r="R202" i="3" s="1"/>
  <c r="R203" i="3" a="1"/>
  <c r="R203" i="3" s="1"/>
  <c r="R204" i="3" a="1"/>
  <c r="R204" i="3" s="1"/>
  <c r="R205" i="3" a="1"/>
  <c r="R205" i="3" s="1"/>
  <c r="R206" i="3" a="1"/>
  <c r="R206" i="3" s="1"/>
  <c r="R207" i="3" a="1"/>
  <c r="R207" i="3" s="1"/>
  <c r="R208" i="3" a="1"/>
  <c r="R208" i="3" s="1"/>
  <c r="R209" i="3" a="1"/>
  <c r="R209" i="3" s="1"/>
  <c r="R210" i="3" a="1"/>
  <c r="R210" i="3" s="1"/>
  <c r="R211" i="3" a="1"/>
  <c r="R211" i="3" s="1"/>
  <c r="R212" i="3" a="1"/>
  <c r="R212" i="3" s="1"/>
  <c r="R213" i="3" a="1"/>
  <c r="R213" i="3" s="1"/>
  <c r="R214" i="3" a="1"/>
  <c r="R214" i="3" s="1"/>
  <c r="R215" i="3" a="1"/>
  <c r="R215" i="3" s="1"/>
  <c r="R216" i="3" a="1"/>
  <c r="R216" i="3" s="1"/>
  <c r="R217" i="3" a="1"/>
  <c r="R217" i="3" s="1"/>
  <c r="R218" i="3" a="1"/>
  <c r="R218" i="3" s="1"/>
  <c r="R219" i="3" a="1"/>
  <c r="R219" i="3" s="1"/>
  <c r="R220" i="3" a="1"/>
  <c r="R220" i="3" s="1"/>
  <c r="R221" i="3" a="1"/>
  <c r="R221" i="3" s="1"/>
  <c r="R222" i="3" a="1"/>
  <c r="R222" i="3" s="1"/>
  <c r="R223" i="3" a="1"/>
  <c r="R223" i="3" s="1"/>
  <c r="R224" i="3" a="1"/>
  <c r="R224" i="3" s="1"/>
  <c r="R225" i="3" a="1"/>
  <c r="R225" i="3" s="1"/>
  <c r="R226" i="3" a="1"/>
  <c r="R226" i="3" s="1"/>
  <c r="R227" i="3" a="1"/>
  <c r="R227" i="3" s="1"/>
  <c r="R228" i="3" a="1"/>
  <c r="R228" i="3" s="1"/>
  <c r="R229" i="3" a="1"/>
  <c r="R229" i="3" s="1"/>
  <c r="R230" i="3" a="1"/>
  <c r="R230" i="3" s="1"/>
  <c r="R231" i="3" a="1"/>
  <c r="R231" i="3" s="1"/>
  <c r="R232" i="3" a="1"/>
  <c r="R232" i="3" s="1"/>
  <c r="R233" i="3" a="1"/>
  <c r="R233" i="3" s="1"/>
  <c r="R234" i="3" a="1"/>
  <c r="R234" i="3" s="1"/>
  <c r="R235" i="3" a="1"/>
  <c r="R235" i="3" s="1"/>
  <c r="R236" i="3" a="1"/>
  <c r="R236" i="3" s="1"/>
  <c r="R237" i="3" a="1"/>
  <c r="R237" i="3" s="1"/>
  <c r="R238" i="3" a="1"/>
  <c r="R238" i="3" s="1"/>
  <c r="R239" i="3" a="1"/>
  <c r="R239" i="3" s="1"/>
  <c r="R240" i="3" a="1"/>
  <c r="R240" i="3" s="1"/>
  <c r="R241" i="3" a="1"/>
  <c r="R241" i="3" s="1"/>
  <c r="R242" i="3" a="1"/>
  <c r="R242" i="3" s="1"/>
  <c r="R243" i="3" a="1"/>
  <c r="R243" i="3" s="1"/>
  <c r="R244" i="3" a="1"/>
  <c r="R244" i="3" s="1"/>
  <c r="R245" i="3" a="1"/>
  <c r="R245" i="3" s="1"/>
  <c r="R246" i="3" a="1"/>
  <c r="R246" i="3" s="1"/>
  <c r="R247" i="3" a="1"/>
  <c r="R247" i="3" s="1"/>
  <c r="R248" i="3" a="1"/>
  <c r="R248" i="3" s="1"/>
  <c r="R249" i="3" a="1"/>
  <c r="R249" i="3" s="1"/>
  <c r="R250" i="3" a="1"/>
  <c r="R250" i="3" s="1"/>
  <c r="R251" i="3" a="1"/>
  <c r="R251" i="3" s="1"/>
  <c r="R252" i="3" a="1"/>
  <c r="R252" i="3" s="1"/>
  <c r="R253" i="3" a="1"/>
  <c r="R253" i="3" s="1"/>
  <c r="R254" i="3" a="1"/>
  <c r="R254" i="3" s="1"/>
  <c r="R255" i="3" a="1"/>
  <c r="R255" i="3" s="1"/>
  <c r="R256" i="3" a="1"/>
  <c r="R256" i="3" s="1"/>
  <c r="R257" i="3" a="1"/>
  <c r="R257" i="3" s="1"/>
  <c r="R258" i="3" a="1"/>
  <c r="R258" i="3" s="1"/>
  <c r="R259" i="3" a="1"/>
  <c r="R259" i="3" s="1"/>
  <c r="R260" i="3" a="1"/>
  <c r="R260" i="3" s="1"/>
  <c r="R261" i="3" a="1"/>
  <c r="R261" i="3" s="1"/>
  <c r="R262" i="3" a="1"/>
  <c r="R262" i="3" s="1"/>
  <c r="R263" i="3" a="1"/>
  <c r="R263" i="3" s="1"/>
  <c r="R264" i="3" a="1"/>
  <c r="R264" i="3" s="1"/>
  <c r="R265" i="3" a="1"/>
  <c r="R265" i="3" s="1"/>
  <c r="R266" i="3" a="1"/>
  <c r="R266" i="3" s="1"/>
  <c r="R267" i="3" a="1"/>
  <c r="R267" i="3" s="1"/>
  <c r="R268" i="3" a="1"/>
  <c r="R268" i="3" s="1"/>
  <c r="R269" i="3" a="1"/>
  <c r="R269" i="3" s="1"/>
  <c r="R270" i="3" a="1"/>
  <c r="R270" i="3" s="1"/>
  <c r="R271" i="3" a="1"/>
  <c r="R271" i="3" s="1"/>
  <c r="R272" i="3" a="1"/>
  <c r="R272" i="3" s="1"/>
  <c r="R273" i="3" a="1"/>
  <c r="R273" i="3" s="1"/>
  <c r="R274" i="3" a="1"/>
  <c r="R274" i="3" s="1"/>
  <c r="R275" i="3" a="1"/>
  <c r="R275" i="3" s="1"/>
  <c r="R276" i="3" a="1"/>
  <c r="R276" i="3" s="1"/>
  <c r="R277" i="3" a="1"/>
  <c r="R277" i="3" s="1"/>
  <c r="R278" i="3" a="1"/>
  <c r="R278" i="3" s="1"/>
  <c r="R279" i="3" a="1"/>
  <c r="R279" i="3" s="1"/>
  <c r="R280" i="3" a="1"/>
  <c r="R280" i="3" s="1"/>
  <c r="R281" i="3" a="1"/>
  <c r="R281" i="3" s="1"/>
  <c r="R282" i="3" a="1"/>
  <c r="R282" i="3" s="1"/>
  <c r="R283" i="3" a="1"/>
  <c r="R283" i="3" s="1"/>
  <c r="R284" i="3" a="1"/>
  <c r="R284" i="3" s="1"/>
  <c r="R285" i="3" a="1"/>
  <c r="R285" i="3" s="1"/>
  <c r="R286" i="3" a="1"/>
  <c r="R286" i="3" s="1"/>
  <c r="R287" i="3" a="1"/>
  <c r="R287" i="3" s="1"/>
  <c r="R288" i="3" a="1"/>
  <c r="R288" i="3" s="1"/>
  <c r="R289" i="3" a="1"/>
  <c r="R289" i="3" s="1"/>
  <c r="R290" i="3" a="1"/>
  <c r="R290" i="3" s="1"/>
  <c r="R291" i="3" a="1"/>
  <c r="R291" i="3" s="1"/>
  <c r="R292" i="3" a="1"/>
  <c r="R292" i="3" s="1"/>
  <c r="R293" i="3" a="1"/>
  <c r="R293" i="3" s="1"/>
  <c r="R294" i="3" a="1"/>
  <c r="R294" i="3" s="1"/>
  <c r="R295" i="3" a="1"/>
  <c r="R295" i="3" s="1"/>
  <c r="R296" i="3" a="1"/>
  <c r="R296" i="3" s="1"/>
  <c r="R297" i="3" a="1"/>
  <c r="R297" i="3" s="1"/>
  <c r="R298" i="3" a="1"/>
  <c r="R298" i="3" s="1"/>
  <c r="R299" i="3" a="1"/>
  <c r="R299" i="3" s="1"/>
  <c r="R300" i="3" a="1"/>
  <c r="R300" i="3" s="1"/>
  <c r="R301" i="3" a="1"/>
  <c r="R301" i="3" s="1"/>
  <c r="R302" i="3" a="1"/>
  <c r="R302" i="3" s="1"/>
  <c r="R303" i="3" a="1"/>
  <c r="R303" i="3" s="1"/>
  <c r="R304" i="3" a="1"/>
  <c r="R304" i="3" s="1"/>
  <c r="R305" i="3" a="1"/>
  <c r="R305" i="3" s="1"/>
  <c r="R306" i="3" a="1"/>
  <c r="R306" i="3" s="1"/>
  <c r="R307" i="3" a="1"/>
  <c r="R307" i="3" s="1"/>
  <c r="R308" i="3" a="1"/>
  <c r="R308" i="3" s="1"/>
  <c r="R309" i="3" a="1"/>
  <c r="R309" i="3" s="1"/>
  <c r="R310" i="3" a="1"/>
  <c r="R310" i="3" s="1"/>
  <c r="R311" i="3" a="1"/>
  <c r="R311" i="3" s="1"/>
  <c r="R312" i="3" a="1"/>
  <c r="R312" i="3" s="1"/>
  <c r="R313" i="3" a="1"/>
  <c r="R313" i="3" s="1"/>
  <c r="R314" i="3" a="1"/>
  <c r="R314" i="3" s="1"/>
  <c r="R315" i="3" a="1"/>
  <c r="R315" i="3" s="1"/>
  <c r="R316" i="3" a="1"/>
  <c r="R316" i="3" s="1"/>
  <c r="R317" i="3" a="1"/>
  <c r="R317" i="3" s="1"/>
  <c r="R318" i="3" a="1"/>
  <c r="R318" i="3" s="1"/>
  <c r="R319" i="3" a="1"/>
  <c r="R319" i="3" s="1"/>
  <c r="R320" i="3" a="1"/>
  <c r="R320" i="3" s="1"/>
  <c r="R321" i="3" a="1"/>
  <c r="R321" i="3" s="1"/>
  <c r="R322" i="3" a="1"/>
  <c r="R322" i="3" s="1"/>
  <c r="R323" i="3" a="1"/>
  <c r="R323" i="3" s="1"/>
  <c r="R324" i="3" a="1"/>
  <c r="R324" i="3" s="1"/>
  <c r="R325" i="3" a="1"/>
  <c r="R325" i="3" s="1"/>
  <c r="R326" i="3" a="1"/>
  <c r="R326" i="3" s="1"/>
  <c r="R327" i="3" a="1"/>
  <c r="R327" i="3" s="1"/>
  <c r="R328" i="3" a="1"/>
  <c r="R328" i="3" s="1"/>
  <c r="R329" i="3" a="1"/>
  <c r="R329" i="3" s="1"/>
  <c r="R330" i="3" a="1"/>
  <c r="R330" i="3" s="1"/>
  <c r="R331" i="3" a="1"/>
  <c r="R331" i="3" s="1"/>
  <c r="R332" i="3" a="1"/>
  <c r="R332" i="3" s="1"/>
  <c r="R333" i="3" a="1"/>
  <c r="R333" i="3" s="1"/>
  <c r="R334" i="3" a="1"/>
  <c r="R334" i="3" s="1"/>
  <c r="R335" i="3" a="1"/>
  <c r="R335" i="3" s="1"/>
  <c r="R336" i="3" a="1"/>
  <c r="R336" i="3" s="1"/>
  <c r="R337" i="3" a="1"/>
  <c r="R337" i="3" s="1"/>
  <c r="R338" i="3" a="1"/>
  <c r="R338" i="3" s="1"/>
  <c r="R339" i="3" a="1"/>
  <c r="R339" i="3" s="1"/>
  <c r="R340" i="3" a="1"/>
  <c r="R340" i="3" s="1"/>
  <c r="R341" i="3" a="1"/>
  <c r="R341" i="3" s="1"/>
  <c r="R342" i="3" a="1"/>
  <c r="R342" i="3" s="1"/>
  <c r="R343" i="3" a="1"/>
  <c r="R343" i="3" s="1"/>
  <c r="R344" i="3" a="1"/>
  <c r="R344" i="3" s="1"/>
  <c r="R345" i="3" a="1"/>
  <c r="R345" i="3" s="1"/>
  <c r="R346" i="3" a="1"/>
  <c r="R346" i="3" s="1"/>
  <c r="R347" i="3" a="1"/>
  <c r="R347" i="3" s="1"/>
  <c r="R348" i="3" a="1"/>
  <c r="R348" i="3" s="1"/>
  <c r="R349" i="3" a="1"/>
  <c r="R349" i="3" s="1"/>
  <c r="R350" i="3" a="1"/>
  <c r="R350" i="3" s="1"/>
  <c r="R351" i="3" a="1"/>
  <c r="R351" i="3" s="1"/>
  <c r="R352" i="3" a="1"/>
  <c r="R352" i="3" s="1"/>
  <c r="R353" i="3" a="1"/>
  <c r="R353" i="3" s="1"/>
  <c r="R354" i="3" a="1"/>
  <c r="R354" i="3" s="1"/>
  <c r="R355" i="3" a="1"/>
  <c r="R355" i="3" s="1"/>
  <c r="R356" i="3" a="1"/>
  <c r="R356" i="3" s="1"/>
  <c r="R357" i="3" a="1"/>
  <c r="R357" i="3" s="1"/>
  <c r="R358" i="3" a="1"/>
  <c r="R358" i="3" s="1"/>
  <c r="R359" i="3" a="1"/>
  <c r="R359" i="3" s="1"/>
  <c r="R360" i="3" a="1"/>
  <c r="R360" i="3" s="1"/>
  <c r="R361" i="3" a="1"/>
  <c r="R361" i="3" s="1"/>
  <c r="R362" i="3" a="1"/>
  <c r="R362" i="3" s="1"/>
  <c r="R363" i="3" a="1"/>
  <c r="R363" i="3" s="1"/>
  <c r="R364" i="3" a="1"/>
  <c r="R364" i="3" s="1"/>
  <c r="R365" i="3" a="1"/>
  <c r="R365" i="3" s="1"/>
  <c r="R366" i="3" a="1"/>
  <c r="R366" i="3" s="1"/>
  <c r="R367" i="3" a="1"/>
  <c r="R367" i="3" s="1"/>
  <c r="O367" i="3"/>
  <c r="R368" i="3" a="1"/>
  <c r="R368" i="3" s="1"/>
  <c r="R369" i="3" a="1"/>
  <c r="R369" i="3" s="1"/>
  <c r="R370" i="3" a="1"/>
  <c r="R370" i="3" s="1"/>
  <c r="R371" i="3" a="1"/>
  <c r="R371" i="3" s="1"/>
  <c r="R372" i="3" a="1"/>
  <c r="R372" i="3" s="1"/>
  <c r="R373" i="3" a="1"/>
  <c r="R373" i="3" s="1"/>
  <c r="R374" i="3" a="1"/>
  <c r="R374" i="3" s="1"/>
  <c r="R375" i="3" a="1"/>
  <c r="R375" i="3" s="1"/>
  <c r="R376" i="3" a="1"/>
  <c r="R376" i="3" s="1"/>
  <c r="R377" i="3" a="1"/>
  <c r="R377" i="3" s="1"/>
  <c r="R378" i="3" a="1"/>
  <c r="R378" i="3" s="1"/>
  <c r="R379" i="3" a="1"/>
  <c r="R379" i="3" s="1"/>
  <c r="R380" i="3" a="1"/>
  <c r="R380" i="3" s="1"/>
  <c r="R381" i="3" a="1"/>
  <c r="R381" i="3" s="1"/>
  <c r="R382" i="3" a="1"/>
  <c r="R382" i="3" s="1"/>
  <c r="R383" i="3" a="1"/>
  <c r="R383" i="3" s="1"/>
  <c r="R384" i="3" a="1"/>
  <c r="R384" i="3" s="1"/>
  <c r="R385" i="3" a="1"/>
  <c r="R385" i="3" s="1"/>
  <c r="R386" i="3" a="1"/>
  <c r="R386" i="3" s="1"/>
  <c r="R387" i="3" a="1"/>
  <c r="R387" i="3" s="1"/>
  <c r="R388" i="3" a="1"/>
  <c r="R388" i="3" s="1"/>
  <c r="R389" i="3" a="1"/>
  <c r="R389" i="3" s="1"/>
  <c r="R390" i="3" a="1"/>
  <c r="R390" i="3" s="1"/>
  <c r="R391" i="3" a="1"/>
  <c r="R391" i="3" s="1"/>
  <c r="R392" i="3" a="1"/>
  <c r="R392" i="3" s="1"/>
  <c r="R393" i="3" a="1"/>
  <c r="R393" i="3" s="1"/>
  <c r="R394" i="3" a="1"/>
  <c r="R394" i="3" s="1"/>
  <c r="R395" i="3" a="1"/>
  <c r="R395" i="3" s="1"/>
  <c r="R396" i="3" a="1"/>
  <c r="R396" i="3" s="1"/>
  <c r="R397" i="3" a="1"/>
  <c r="R397" i="3" s="1"/>
  <c r="R398" i="3" a="1"/>
  <c r="R398" i="3" s="1"/>
  <c r="R399" i="3" a="1"/>
  <c r="R399" i="3" s="1"/>
  <c r="R400" i="3" a="1"/>
  <c r="R400" i="3" s="1"/>
  <c r="R401" i="3" a="1"/>
  <c r="R401" i="3" s="1"/>
  <c r="R402" i="3" a="1"/>
  <c r="R402" i="3" s="1"/>
  <c r="R403" i="3" a="1"/>
  <c r="R403" i="3" s="1"/>
  <c r="O403" i="3"/>
  <c r="R404" i="3" a="1"/>
  <c r="R404" i="3" s="1"/>
  <c r="R405" i="3" a="1"/>
  <c r="R405" i="3" s="1"/>
  <c r="R406" i="3" a="1"/>
  <c r="R406" i="3" s="1"/>
  <c r="R407" i="3" a="1"/>
  <c r="R407" i="3" s="1"/>
  <c r="R408" i="3" a="1"/>
  <c r="R408" i="3" s="1"/>
  <c r="R409" i="3" a="1"/>
  <c r="R409" i="3" s="1"/>
  <c r="R410" i="3" a="1"/>
  <c r="R410" i="3" s="1"/>
  <c r="R411" i="3" a="1"/>
  <c r="R411" i="3" s="1"/>
  <c r="R412" i="3" a="1"/>
  <c r="R412" i="3" s="1"/>
  <c r="R413" i="3" a="1"/>
  <c r="R413" i="3" s="1"/>
  <c r="R5" i="3" a="1"/>
  <c r="R5" i="3"/>
  <c r="O111" i="3"/>
  <c r="O319" i="3"/>
  <c r="O387" i="3"/>
  <c r="O71" i="3"/>
  <c r="O190" i="3"/>
  <c r="O254" i="3"/>
  <c r="O95" i="3"/>
  <c r="O135" i="3"/>
  <c r="O207" i="3"/>
  <c r="O7" i="3"/>
  <c r="O27" i="3"/>
  <c r="O32" i="3"/>
  <c r="O39" i="3"/>
  <c r="O42" i="3"/>
  <c r="O43" i="3"/>
  <c r="O50" i="3"/>
  <c r="O51" i="3"/>
  <c r="O55" i="3"/>
  <c r="O68" i="3"/>
  <c r="O74" i="3"/>
  <c r="O78" i="3"/>
  <c r="O87" i="3"/>
  <c r="O91" i="3"/>
  <c r="O99" i="3"/>
  <c r="O110" i="3"/>
  <c r="O115" i="3"/>
  <c r="O116" i="3"/>
  <c r="O122" i="3"/>
  <c r="O123" i="3"/>
  <c r="O139" i="3"/>
  <c r="O151" i="3"/>
  <c r="O171" i="3"/>
  <c r="O199" i="3"/>
  <c r="O226" i="3"/>
  <c r="O246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P6" i="3"/>
  <c r="O6" i="3" s="1"/>
  <c r="P7" i="3"/>
  <c r="P8" i="3"/>
  <c r="P9" i="3"/>
  <c r="P10" i="3"/>
  <c r="P11" i="3"/>
  <c r="P12" i="3"/>
  <c r="O12" i="3" s="1"/>
  <c r="P13" i="3"/>
  <c r="O13" i="3" s="1"/>
  <c r="P14" i="3"/>
  <c r="P15" i="3"/>
  <c r="P16" i="3"/>
  <c r="P17" i="3"/>
  <c r="P18" i="3"/>
  <c r="O18" i="3" s="1"/>
  <c r="P19" i="3"/>
  <c r="P20" i="3"/>
  <c r="P21" i="3"/>
  <c r="P22" i="3"/>
  <c r="P23" i="3"/>
  <c r="P24" i="3"/>
  <c r="P25" i="3"/>
  <c r="P26" i="3"/>
  <c r="P27" i="3"/>
  <c r="P28" i="3"/>
  <c r="P29" i="3"/>
  <c r="O29" i="3" s="1"/>
  <c r="P30" i="3"/>
  <c r="P31" i="3"/>
  <c r="P32" i="3"/>
  <c r="P33" i="3"/>
  <c r="O33" i="3" s="1"/>
  <c r="P34" i="3"/>
  <c r="P35" i="3"/>
  <c r="P36" i="3"/>
  <c r="P37" i="3"/>
  <c r="P38" i="3"/>
  <c r="P39" i="3"/>
  <c r="P40" i="3"/>
  <c r="O40" i="3" s="1"/>
  <c r="P41" i="3"/>
  <c r="O41" i="3" s="1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O54" i="3" s="1"/>
  <c r="P55" i="3"/>
  <c r="P56" i="3"/>
  <c r="P57" i="3"/>
  <c r="O57" i="3" s="1"/>
  <c r="P58" i="3"/>
  <c r="P59" i="3"/>
  <c r="P60" i="3"/>
  <c r="O60" i="3" s="1"/>
  <c r="P61" i="3"/>
  <c r="P62" i="3"/>
  <c r="P63" i="3"/>
  <c r="O63" i="3" s="1"/>
  <c r="P64" i="3"/>
  <c r="O64" i="3" s="1"/>
  <c r="P65" i="3"/>
  <c r="P66" i="3"/>
  <c r="P67" i="3"/>
  <c r="P68" i="3"/>
  <c r="P69" i="3"/>
  <c r="P70" i="3"/>
  <c r="P71" i="3"/>
  <c r="P72" i="3"/>
  <c r="O72" i="3" s="1"/>
  <c r="P73" i="3"/>
  <c r="P74" i="3"/>
  <c r="P75" i="3"/>
  <c r="O75" i="3" s="1"/>
  <c r="P76" i="3"/>
  <c r="P77" i="3"/>
  <c r="P78" i="3"/>
  <c r="P79" i="3"/>
  <c r="O79" i="3" s="1"/>
  <c r="P80" i="3"/>
  <c r="O80" i="3" s="1"/>
  <c r="P81" i="3"/>
  <c r="O81" i="3" s="1"/>
  <c r="P82" i="3"/>
  <c r="O82" i="3" s="1"/>
  <c r="P83" i="3"/>
  <c r="P84" i="3"/>
  <c r="P85" i="3"/>
  <c r="P86" i="3"/>
  <c r="P87" i="3"/>
  <c r="P88" i="3"/>
  <c r="P89" i="3"/>
  <c r="P90" i="3"/>
  <c r="O90" i="3" s="1"/>
  <c r="P91" i="3"/>
  <c r="P92" i="3"/>
  <c r="P93" i="3"/>
  <c r="O93" i="3" s="1"/>
  <c r="P94" i="3"/>
  <c r="P95" i="3"/>
  <c r="P96" i="3"/>
  <c r="P97" i="3"/>
  <c r="O97" i="3" s="1"/>
  <c r="P98" i="3"/>
  <c r="P99" i="3"/>
  <c r="P100" i="3"/>
  <c r="P101" i="3"/>
  <c r="P102" i="3"/>
  <c r="P103" i="3"/>
  <c r="P104" i="3"/>
  <c r="P105" i="3"/>
  <c r="O105" i="3" s="1"/>
  <c r="P106" i="3"/>
  <c r="P107" i="3"/>
  <c r="P108" i="3"/>
  <c r="P109" i="3"/>
  <c r="O109" i="3" s="1"/>
  <c r="P110" i="3"/>
  <c r="P111" i="3"/>
  <c r="P112" i="3"/>
  <c r="P113" i="3"/>
  <c r="O113" i="3" s="1"/>
  <c r="P114" i="3"/>
  <c r="P115" i="3"/>
  <c r="P116" i="3"/>
  <c r="P117" i="3"/>
  <c r="P118" i="3"/>
  <c r="P119" i="3"/>
  <c r="P120" i="3"/>
  <c r="O120" i="3" s="1"/>
  <c r="P121" i="3"/>
  <c r="O121" i="3" s="1"/>
  <c r="P122" i="3"/>
  <c r="P123" i="3"/>
  <c r="P124" i="3"/>
  <c r="P125" i="3"/>
  <c r="P126" i="3"/>
  <c r="O126" i="3" s="1"/>
  <c r="P127" i="3"/>
  <c r="P128" i="3"/>
  <c r="P129" i="3"/>
  <c r="P130" i="3"/>
  <c r="P131" i="3"/>
  <c r="P132" i="3"/>
  <c r="P133" i="3"/>
  <c r="O133" i="3" s="1"/>
  <c r="P134" i="3"/>
  <c r="P135" i="3"/>
  <c r="P136" i="3"/>
  <c r="P137" i="3"/>
  <c r="O137" i="3" s="1"/>
  <c r="P138" i="3"/>
  <c r="O138" i="3" s="1"/>
  <c r="P139" i="3"/>
  <c r="P140" i="3"/>
  <c r="P141" i="3"/>
  <c r="O141" i="3" s="1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O156" i="3" s="1"/>
  <c r="P157" i="3"/>
  <c r="P158" i="3"/>
  <c r="P159" i="3"/>
  <c r="O159" i="3" s="1"/>
  <c r="P160" i="3"/>
  <c r="P161" i="3"/>
  <c r="P162" i="3"/>
  <c r="P163" i="3"/>
  <c r="O163" i="3" s="1"/>
  <c r="P164" i="3"/>
  <c r="P165" i="3"/>
  <c r="O165" i="3" s="1"/>
  <c r="P166" i="3"/>
  <c r="P167" i="3"/>
  <c r="P168" i="3"/>
  <c r="P169" i="3"/>
  <c r="O169" i="3" s="1"/>
  <c r="P170" i="3"/>
  <c r="P171" i="3"/>
  <c r="P172" i="3"/>
  <c r="O172" i="3" s="1"/>
  <c r="P173" i="3"/>
  <c r="P174" i="3"/>
  <c r="O174" i="3" s="1"/>
  <c r="P175" i="3"/>
  <c r="P176" i="3"/>
  <c r="P177" i="3"/>
  <c r="O177" i="3" s="1"/>
  <c r="P178" i="3"/>
  <c r="P179" i="3"/>
  <c r="P180" i="3"/>
  <c r="P181" i="3"/>
  <c r="P182" i="3"/>
  <c r="P183" i="3"/>
  <c r="P184" i="3"/>
  <c r="P185" i="3"/>
  <c r="P186" i="3"/>
  <c r="P187" i="3"/>
  <c r="O187" i="3" s="1"/>
  <c r="P188" i="3"/>
  <c r="O188" i="3" s="1"/>
  <c r="P189" i="3"/>
  <c r="O189" i="3" s="1"/>
  <c r="P190" i="3"/>
  <c r="P191" i="3"/>
  <c r="P192" i="3"/>
  <c r="P193" i="3"/>
  <c r="O193" i="3" s="1"/>
  <c r="P194" i="3"/>
  <c r="P195" i="3"/>
  <c r="P196" i="3"/>
  <c r="P197" i="3"/>
  <c r="O197" i="3" s="1"/>
  <c r="P198" i="3"/>
  <c r="P199" i="3"/>
  <c r="P200" i="3"/>
  <c r="O200" i="3" s="1"/>
  <c r="P201" i="3"/>
  <c r="P202" i="3"/>
  <c r="P203" i="3"/>
  <c r="P204" i="3"/>
  <c r="P205" i="3"/>
  <c r="O205" i="3" s="1"/>
  <c r="P206" i="3"/>
  <c r="P207" i="3"/>
  <c r="P208" i="3"/>
  <c r="P209" i="3"/>
  <c r="P210" i="3"/>
  <c r="O210" i="3" s="1"/>
  <c r="P211" i="3"/>
  <c r="P212" i="3"/>
  <c r="P213" i="3"/>
  <c r="P214" i="3"/>
  <c r="P215" i="3"/>
  <c r="P216" i="3"/>
  <c r="P217" i="3"/>
  <c r="O217" i="3" s="1"/>
  <c r="P218" i="3"/>
  <c r="O218" i="3" s="1"/>
  <c r="P219" i="3"/>
  <c r="P220" i="3"/>
  <c r="P221" i="3"/>
  <c r="P222" i="3"/>
  <c r="O222" i="3" s="1"/>
  <c r="P223" i="3"/>
  <c r="O223" i="3" s="1"/>
  <c r="P224" i="3"/>
  <c r="P225" i="3"/>
  <c r="P226" i="3"/>
  <c r="P227" i="3"/>
  <c r="O227" i="3" s="1"/>
  <c r="P228" i="3"/>
  <c r="P229" i="3"/>
  <c r="P230" i="3"/>
  <c r="P231" i="3"/>
  <c r="P232" i="3"/>
  <c r="P233" i="3"/>
  <c r="O233" i="3" s="1"/>
  <c r="P234" i="3"/>
  <c r="P235" i="3"/>
  <c r="P236" i="3"/>
  <c r="P237" i="3"/>
  <c r="O237" i="3" s="1"/>
  <c r="P238" i="3"/>
  <c r="P239" i="3"/>
  <c r="P240" i="3"/>
  <c r="P241" i="3"/>
  <c r="P242" i="3"/>
  <c r="P243" i="3"/>
  <c r="P244" i="3"/>
  <c r="P245" i="3"/>
  <c r="P246" i="3"/>
  <c r="P247" i="3"/>
  <c r="O247" i="3" s="1"/>
  <c r="P248" i="3"/>
  <c r="P249" i="3"/>
  <c r="P250" i="3"/>
  <c r="P251" i="3"/>
  <c r="P252" i="3"/>
  <c r="P253" i="3"/>
  <c r="P254" i="3"/>
  <c r="P255" i="3"/>
  <c r="O255" i="3" s="1"/>
  <c r="P256" i="3"/>
  <c r="P257" i="3"/>
  <c r="P258" i="3"/>
  <c r="P259" i="3"/>
  <c r="P260" i="3"/>
  <c r="P261" i="3"/>
  <c r="P262" i="3"/>
  <c r="P263" i="3"/>
  <c r="P264" i="3"/>
  <c r="P265" i="3"/>
  <c r="P266" i="3"/>
  <c r="P267" i="3"/>
  <c r="O267" i="3" s="1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O301" i="3" s="1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O361" i="3" s="1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O375" i="3" s="1"/>
  <c r="P376" i="3"/>
  <c r="P377" i="3"/>
  <c r="P378" i="3"/>
  <c r="P379" i="3"/>
  <c r="P380" i="3"/>
  <c r="P381" i="3"/>
  <c r="P382" i="3"/>
  <c r="P383" i="3"/>
  <c r="P384" i="3"/>
  <c r="P385" i="3"/>
  <c r="O385" i="3" s="1"/>
  <c r="P386" i="3"/>
  <c r="P387" i="3"/>
  <c r="P388" i="3"/>
  <c r="P389" i="3"/>
  <c r="P390" i="3"/>
  <c r="P391" i="3"/>
  <c r="O391" i="3" s="1"/>
  <c r="P392" i="3"/>
  <c r="P393" i="3"/>
  <c r="P394" i="3"/>
  <c r="P395" i="3"/>
  <c r="P396" i="3"/>
  <c r="P397" i="3"/>
  <c r="O397" i="3" s="1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5" i="3"/>
  <c r="E15" i="2"/>
  <c r="E14" i="2"/>
  <c r="E13" i="2"/>
  <c r="E12" i="2"/>
  <c r="E11" i="2"/>
  <c r="E10" i="2"/>
  <c r="E9" i="2"/>
  <c r="E8" i="2"/>
  <c r="E7" i="2"/>
  <c r="E6" i="2"/>
  <c r="B6" i="3"/>
  <c r="C6" i="3" s="1"/>
  <c r="B7" i="3"/>
  <c r="C7" i="3"/>
  <c r="B8" i="3"/>
  <c r="C8" i="3" s="1"/>
  <c r="B9" i="3"/>
  <c r="C9" i="3" s="1"/>
  <c r="B10" i="3"/>
  <c r="C10" i="3" s="1"/>
  <c r="B11" i="3"/>
  <c r="C11" i="3" s="1"/>
  <c r="B12" i="3"/>
  <c r="C12" i="3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/>
  <c r="B20" i="3"/>
  <c r="C20" i="3" s="1"/>
  <c r="B21" i="3"/>
  <c r="C21" i="3" s="1"/>
  <c r="B22" i="3"/>
  <c r="C22" i="3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/>
  <c r="B30" i="3"/>
  <c r="C30" i="3" s="1"/>
  <c r="B31" i="3"/>
  <c r="C31" i="3" s="1"/>
  <c r="B32" i="3"/>
  <c r="C32" i="3" s="1"/>
  <c r="B33" i="3"/>
  <c r="C33" i="3" s="1"/>
  <c r="B34" i="3"/>
  <c r="C34" i="3"/>
  <c r="B35" i="3"/>
  <c r="C35" i="3" s="1"/>
  <c r="B36" i="3"/>
  <c r="C36" i="3"/>
  <c r="B37" i="3"/>
  <c r="C37" i="3" s="1"/>
  <c r="B38" i="3"/>
  <c r="C38" i="3" s="1"/>
  <c r="B39" i="3"/>
  <c r="C39" i="3" s="1"/>
  <c r="B40" i="3"/>
  <c r="C40" i="3" s="1"/>
  <c r="B41" i="3"/>
  <c r="C41" i="3"/>
  <c r="B42" i="3"/>
  <c r="C42" i="3" s="1"/>
  <c r="B43" i="3"/>
  <c r="C43" i="3"/>
  <c r="B44" i="3"/>
  <c r="C44" i="3" s="1"/>
  <c r="B45" i="3"/>
  <c r="C45" i="3" s="1"/>
  <c r="B46" i="3"/>
  <c r="C46" i="3" s="1"/>
  <c r="B47" i="3"/>
  <c r="C47" i="3" s="1"/>
  <c r="B48" i="3"/>
  <c r="C48" i="3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/>
  <c r="B56" i="3"/>
  <c r="C56" i="3" s="1"/>
  <c r="B57" i="3"/>
  <c r="C57" i="3" s="1"/>
  <c r="B58" i="3"/>
  <c r="C58" i="3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/>
  <c r="B66" i="3"/>
  <c r="C66" i="3" s="1"/>
  <c r="B67" i="3"/>
  <c r="C67" i="3" s="1"/>
  <c r="B68" i="3"/>
  <c r="C68" i="3" s="1"/>
  <c r="B69" i="3"/>
  <c r="C69" i="3" s="1"/>
  <c r="B70" i="3"/>
  <c r="C70" i="3"/>
  <c r="B71" i="3"/>
  <c r="C71" i="3" s="1"/>
  <c r="B72" i="3"/>
  <c r="C72" i="3"/>
  <c r="B73" i="3"/>
  <c r="C73" i="3" s="1"/>
  <c r="B74" i="3"/>
  <c r="C74" i="3" s="1"/>
  <c r="B75" i="3"/>
  <c r="C75" i="3" s="1"/>
  <c r="B76" i="3"/>
  <c r="C76" i="3" s="1"/>
  <c r="B77" i="3"/>
  <c r="C77" i="3"/>
  <c r="B78" i="3"/>
  <c r="C78" i="3" s="1"/>
  <c r="B79" i="3"/>
  <c r="C79" i="3"/>
  <c r="B80" i="3"/>
  <c r="C80" i="3" s="1"/>
  <c r="B81" i="3"/>
  <c r="C81" i="3" s="1"/>
  <c r="B82" i="3"/>
  <c r="C82" i="3" s="1"/>
  <c r="B83" i="3"/>
  <c r="C83" i="3" s="1"/>
  <c r="B84" i="3"/>
  <c r="C84" i="3"/>
  <c r="B85" i="3"/>
  <c r="C85" i="3" s="1"/>
  <c r="B86" i="3"/>
  <c r="C86" i="3" s="1"/>
  <c r="B87" i="3"/>
  <c r="C87" i="3" s="1"/>
  <c r="B88" i="3"/>
  <c r="C88" i="3" s="1"/>
  <c r="B89" i="3"/>
  <c r="C89" i="3" s="1"/>
  <c r="B90" i="3"/>
  <c r="C90" i="3" s="1"/>
  <c r="B91" i="3"/>
  <c r="C91" i="3"/>
  <c r="B92" i="3"/>
  <c r="C92" i="3" s="1"/>
  <c r="B93" i="3"/>
  <c r="C93" i="3" s="1"/>
  <c r="B94" i="3"/>
  <c r="C94" i="3"/>
  <c r="B95" i="3"/>
  <c r="C95" i="3" s="1"/>
  <c r="B96" i="3"/>
  <c r="C96" i="3" s="1"/>
  <c r="B97" i="3"/>
  <c r="C97" i="3" s="1"/>
  <c r="B98" i="3"/>
  <c r="C98" i="3" s="1"/>
  <c r="B99" i="3"/>
  <c r="C99" i="3" s="1"/>
  <c r="B100" i="3"/>
  <c r="C100" i="3" s="1"/>
  <c r="B101" i="3"/>
  <c r="C101" i="3"/>
  <c r="B102" i="3"/>
  <c r="C102" i="3" s="1"/>
  <c r="B103" i="3"/>
  <c r="C103" i="3" s="1"/>
  <c r="B104" i="3"/>
  <c r="C104" i="3" s="1"/>
  <c r="B105" i="3"/>
  <c r="C105" i="3" s="1"/>
  <c r="B106" i="3"/>
  <c r="C106" i="3"/>
  <c r="B107" i="3"/>
  <c r="C107" i="3" s="1"/>
  <c r="B108" i="3"/>
  <c r="C108" i="3"/>
  <c r="B109" i="3"/>
  <c r="C109" i="3" s="1"/>
  <c r="B110" i="3"/>
  <c r="C110" i="3" s="1"/>
  <c r="B111" i="3"/>
  <c r="C111" i="3" s="1"/>
  <c r="B112" i="3"/>
  <c r="C112" i="3" s="1"/>
  <c r="B113" i="3"/>
  <c r="C113" i="3"/>
  <c r="B114" i="3"/>
  <c r="C114" i="3" s="1"/>
  <c r="B115" i="3"/>
  <c r="C115" i="3"/>
  <c r="B116" i="3"/>
  <c r="C116" i="3" s="1"/>
  <c r="B117" i="3"/>
  <c r="C117" i="3" s="1"/>
  <c r="B118" i="3"/>
  <c r="C118" i="3" s="1"/>
  <c r="B119" i="3"/>
  <c r="C119" i="3" s="1"/>
  <c r="B120" i="3"/>
  <c r="C120" i="3"/>
  <c r="B121" i="3"/>
  <c r="C121" i="3" s="1"/>
  <c r="B122" i="3"/>
  <c r="C122" i="3" s="1"/>
  <c r="B123" i="3"/>
  <c r="C123" i="3" s="1"/>
  <c r="B124" i="3"/>
  <c r="C124" i="3" s="1"/>
  <c r="B125" i="3"/>
  <c r="C125" i="3" s="1"/>
  <c r="B126" i="3"/>
  <c r="C126" i="3" s="1"/>
  <c r="B127" i="3"/>
  <c r="C127" i="3"/>
  <c r="B128" i="3"/>
  <c r="C128" i="3" s="1"/>
  <c r="B129" i="3"/>
  <c r="C129" i="3" s="1"/>
  <c r="B130" i="3"/>
  <c r="C130" i="3"/>
  <c r="B131" i="3"/>
  <c r="C131" i="3" s="1"/>
  <c r="B132" i="3"/>
  <c r="C132" i="3" s="1"/>
  <c r="B133" i="3"/>
  <c r="C133" i="3" s="1"/>
  <c r="B134" i="3"/>
  <c r="C134" i="3" s="1"/>
  <c r="B135" i="3"/>
  <c r="C135" i="3" s="1"/>
  <c r="B136" i="3"/>
  <c r="C136" i="3" s="1"/>
  <c r="B137" i="3"/>
  <c r="C137" i="3"/>
  <c r="B138" i="3"/>
  <c r="C138" i="3" s="1"/>
  <c r="B139" i="3"/>
  <c r="C139" i="3" s="1"/>
  <c r="B140" i="3"/>
  <c r="C140" i="3" s="1"/>
  <c r="B141" i="3"/>
  <c r="C141" i="3" s="1"/>
  <c r="B142" i="3"/>
  <c r="C142" i="3"/>
  <c r="B143" i="3"/>
  <c r="C143" i="3" s="1"/>
  <c r="B144" i="3"/>
  <c r="C144" i="3"/>
  <c r="B145" i="3"/>
  <c r="C145" i="3" s="1"/>
  <c r="B146" i="3"/>
  <c r="C146" i="3" s="1"/>
  <c r="B147" i="3"/>
  <c r="C147" i="3" s="1"/>
  <c r="B148" i="3"/>
  <c r="C148" i="3" s="1"/>
  <c r="B149" i="3"/>
  <c r="C149" i="3"/>
  <c r="B150" i="3"/>
  <c r="C150" i="3" s="1"/>
  <c r="B151" i="3"/>
  <c r="C151" i="3"/>
  <c r="B152" i="3"/>
  <c r="C152" i="3" s="1"/>
  <c r="B153" i="3"/>
  <c r="C153" i="3" s="1"/>
  <c r="B154" i="3"/>
  <c r="C154" i="3" s="1"/>
  <c r="B155" i="3"/>
  <c r="C155" i="3" s="1"/>
  <c r="B156" i="3"/>
  <c r="C156" i="3"/>
  <c r="B157" i="3"/>
  <c r="C157" i="3" s="1"/>
  <c r="B158" i="3"/>
  <c r="C158" i="3" s="1"/>
  <c r="B159" i="3"/>
  <c r="C159" i="3" s="1"/>
  <c r="B160" i="3"/>
  <c r="C160" i="3" s="1"/>
  <c r="B161" i="3"/>
  <c r="C161" i="3" s="1"/>
  <c r="B162" i="3"/>
  <c r="C162" i="3" s="1"/>
  <c r="B163" i="3"/>
  <c r="C163" i="3"/>
  <c r="B164" i="3"/>
  <c r="C164" i="3" s="1"/>
  <c r="B165" i="3"/>
  <c r="C165" i="3" s="1"/>
  <c r="B166" i="3"/>
  <c r="C166" i="3"/>
  <c r="B167" i="3"/>
  <c r="C167" i="3" s="1"/>
  <c r="B168" i="3"/>
  <c r="C168" i="3" s="1"/>
  <c r="B169" i="3"/>
  <c r="C169" i="3" s="1"/>
  <c r="B170" i="3"/>
  <c r="C170" i="3" s="1"/>
  <c r="B171" i="3"/>
  <c r="C171" i="3" s="1"/>
  <c r="B172" i="3"/>
  <c r="C172" i="3" s="1"/>
  <c r="B173" i="3"/>
  <c r="C173" i="3"/>
  <c r="B174" i="3"/>
  <c r="C174" i="3" s="1"/>
  <c r="B175" i="3"/>
  <c r="C175" i="3" s="1"/>
  <c r="B176" i="3"/>
  <c r="C176" i="3" s="1"/>
  <c r="B177" i="3"/>
  <c r="C177" i="3" s="1"/>
  <c r="B178" i="3"/>
  <c r="C178" i="3"/>
  <c r="B179" i="3"/>
  <c r="C179" i="3" s="1"/>
  <c r="B180" i="3"/>
  <c r="C180" i="3"/>
  <c r="B181" i="3"/>
  <c r="C181" i="3" s="1"/>
  <c r="B182" i="3"/>
  <c r="C182" i="3" s="1"/>
  <c r="B183" i="3"/>
  <c r="C183" i="3" s="1"/>
  <c r="B184" i="3"/>
  <c r="C184" i="3" s="1"/>
  <c r="B185" i="3"/>
  <c r="C185" i="3"/>
  <c r="B186" i="3"/>
  <c r="C186" i="3" s="1"/>
  <c r="B187" i="3"/>
  <c r="C187" i="3" s="1"/>
  <c r="B188" i="3"/>
  <c r="C188" i="3" s="1"/>
  <c r="B189" i="3"/>
  <c r="C189" i="3" s="1"/>
  <c r="B190" i="3"/>
  <c r="C190" i="3" s="1"/>
  <c r="B191" i="3"/>
  <c r="C191" i="3"/>
  <c r="B192" i="3"/>
  <c r="C192" i="3"/>
  <c r="B193" i="3"/>
  <c r="C193" i="3"/>
  <c r="B194" i="3"/>
  <c r="C194" i="3" s="1"/>
  <c r="B195" i="3"/>
  <c r="C195" i="3" s="1"/>
  <c r="B196" i="3"/>
  <c r="C196" i="3"/>
  <c r="B197" i="3"/>
  <c r="C197" i="3" s="1"/>
  <c r="B198" i="3"/>
  <c r="C198" i="3"/>
  <c r="B199" i="3"/>
  <c r="C199" i="3"/>
  <c r="B200" i="3"/>
  <c r="C200" i="3" s="1"/>
  <c r="B201" i="3"/>
  <c r="C201" i="3" s="1"/>
  <c r="B202" i="3"/>
  <c r="C202" i="3"/>
  <c r="B203" i="3"/>
  <c r="C203" i="3"/>
  <c r="B204" i="3"/>
  <c r="C204" i="3" s="1"/>
  <c r="B205" i="3"/>
  <c r="C205" i="3"/>
  <c r="B206" i="3"/>
  <c r="C206" i="3" s="1"/>
  <c r="B207" i="3"/>
  <c r="C207" i="3" s="1"/>
  <c r="B208" i="3"/>
  <c r="C208" i="3"/>
  <c r="B209" i="3"/>
  <c r="C209" i="3"/>
  <c r="B210" i="3"/>
  <c r="C210" i="3"/>
  <c r="B211" i="3"/>
  <c r="C211" i="3" s="1"/>
  <c r="B212" i="3"/>
  <c r="C212" i="3" s="1"/>
  <c r="B213" i="3"/>
  <c r="C213" i="3" s="1"/>
  <c r="B214" i="3"/>
  <c r="C214" i="3"/>
  <c r="B215" i="3"/>
  <c r="C215" i="3"/>
  <c r="B216" i="3"/>
  <c r="C216" i="3"/>
  <c r="B217" i="3"/>
  <c r="C217" i="3"/>
  <c r="B218" i="3"/>
  <c r="C218" i="3" s="1"/>
  <c r="B219" i="3"/>
  <c r="C219" i="3" s="1"/>
  <c r="B220" i="3"/>
  <c r="C220" i="3"/>
  <c r="B221" i="3"/>
  <c r="C221" i="3"/>
  <c r="B222" i="3"/>
  <c r="C222" i="3"/>
  <c r="B223" i="3"/>
  <c r="C223" i="3"/>
  <c r="B224" i="3"/>
  <c r="C224" i="3" s="1"/>
  <c r="B225" i="3"/>
  <c r="C225" i="3" s="1"/>
  <c r="B226" i="3"/>
  <c r="C226" i="3" s="1"/>
  <c r="B227" i="3"/>
  <c r="C227" i="3"/>
  <c r="B228" i="3"/>
  <c r="C228" i="3"/>
  <c r="B229" i="3"/>
  <c r="C229" i="3"/>
  <c r="B230" i="3"/>
  <c r="C230" i="3" s="1"/>
  <c r="B231" i="3"/>
  <c r="C231" i="3" s="1"/>
  <c r="B232" i="3"/>
  <c r="C232" i="3"/>
  <c r="B233" i="3"/>
  <c r="C233" i="3" s="1"/>
  <c r="B234" i="3"/>
  <c r="C234" i="3"/>
  <c r="B235" i="3"/>
  <c r="C235" i="3"/>
  <c r="B236" i="3"/>
  <c r="C236" i="3" s="1"/>
  <c r="B237" i="3"/>
  <c r="C237" i="3" s="1"/>
  <c r="B238" i="3"/>
  <c r="C238" i="3"/>
  <c r="B239" i="3"/>
  <c r="C239" i="3"/>
  <c r="B240" i="3"/>
  <c r="C240" i="3" s="1"/>
  <c r="B241" i="3"/>
  <c r="C241" i="3"/>
  <c r="B242" i="3"/>
  <c r="C242" i="3" s="1"/>
  <c r="B243" i="3"/>
  <c r="C243" i="3" s="1"/>
  <c r="B244" i="3"/>
  <c r="C244" i="3"/>
  <c r="B245" i="3"/>
  <c r="C245" i="3"/>
  <c r="B246" i="3"/>
  <c r="C246" i="3"/>
  <c r="B247" i="3"/>
  <c r="C247" i="3" s="1"/>
  <c r="B248" i="3"/>
  <c r="C248" i="3" s="1"/>
  <c r="B249" i="3"/>
  <c r="C249" i="3" s="1"/>
  <c r="B250" i="3"/>
  <c r="C250" i="3"/>
  <c r="B251" i="3"/>
  <c r="C251" i="3"/>
  <c r="B252" i="3"/>
  <c r="C252" i="3"/>
  <c r="B253" i="3"/>
  <c r="C253" i="3"/>
  <c r="B254" i="3"/>
  <c r="C254" i="3" s="1"/>
  <c r="B255" i="3"/>
  <c r="C255" i="3" s="1"/>
  <c r="B256" i="3"/>
  <c r="C256" i="3"/>
  <c r="B257" i="3"/>
  <c r="C257" i="3"/>
  <c r="B258" i="3"/>
  <c r="C258" i="3"/>
  <c r="B259" i="3"/>
  <c r="C259" i="3"/>
  <c r="B260" i="3"/>
  <c r="C260" i="3" s="1"/>
  <c r="B261" i="3"/>
  <c r="C261" i="3" s="1"/>
  <c r="B262" i="3"/>
  <c r="C262" i="3" s="1"/>
  <c r="B263" i="3"/>
  <c r="C263" i="3"/>
  <c r="B264" i="3"/>
  <c r="C264" i="3"/>
  <c r="B265" i="3"/>
  <c r="C265" i="3"/>
  <c r="B266" i="3"/>
  <c r="C266" i="3" s="1"/>
  <c r="B267" i="3"/>
  <c r="C267" i="3" s="1"/>
  <c r="B268" i="3"/>
  <c r="C268" i="3"/>
  <c r="B269" i="3"/>
  <c r="C269" i="3" s="1"/>
  <c r="B270" i="3"/>
  <c r="C270" i="3"/>
  <c r="B271" i="3"/>
  <c r="C271" i="3"/>
  <c r="B272" i="3"/>
  <c r="C272" i="3" s="1"/>
  <c r="B273" i="3"/>
  <c r="C273" i="3" s="1"/>
  <c r="B274" i="3"/>
  <c r="C274" i="3"/>
  <c r="B275" i="3"/>
  <c r="C275" i="3"/>
  <c r="B276" i="3"/>
  <c r="C276" i="3" s="1"/>
  <c r="B277" i="3"/>
  <c r="C277" i="3"/>
  <c r="B278" i="3"/>
  <c r="C278" i="3" s="1"/>
  <c r="B279" i="3"/>
  <c r="C279" i="3" s="1"/>
  <c r="B280" i="3"/>
  <c r="C280" i="3"/>
  <c r="B281" i="3"/>
  <c r="C281" i="3"/>
  <c r="B282" i="3"/>
  <c r="C282" i="3"/>
  <c r="B283" i="3"/>
  <c r="C283" i="3" s="1"/>
  <c r="B284" i="3"/>
  <c r="C284" i="3" s="1"/>
  <c r="B285" i="3"/>
  <c r="C285" i="3" s="1"/>
  <c r="B286" i="3"/>
  <c r="C286" i="3"/>
  <c r="B287" i="3"/>
  <c r="C287" i="3"/>
  <c r="B288" i="3"/>
  <c r="C288" i="3"/>
  <c r="B289" i="3"/>
  <c r="C289" i="3"/>
  <c r="B290" i="3"/>
  <c r="C290" i="3" s="1"/>
  <c r="B291" i="3"/>
  <c r="C291" i="3" s="1"/>
  <c r="B292" i="3"/>
  <c r="C292" i="3"/>
  <c r="B293" i="3"/>
  <c r="C293" i="3"/>
  <c r="B294" i="3"/>
  <c r="C294" i="3"/>
  <c r="B295" i="3"/>
  <c r="C295" i="3"/>
  <c r="B296" i="3"/>
  <c r="C296" i="3" s="1"/>
  <c r="B297" i="3"/>
  <c r="C297" i="3" s="1"/>
  <c r="B298" i="3"/>
  <c r="C298" i="3" s="1"/>
  <c r="B299" i="3"/>
  <c r="C299" i="3"/>
  <c r="B300" i="3"/>
  <c r="C300" i="3"/>
  <c r="B301" i="3"/>
  <c r="C301" i="3"/>
  <c r="B302" i="3"/>
  <c r="C302" i="3" s="1"/>
  <c r="B303" i="3"/>
  <c r="C303" i="3" s="1"/>
  <c r="B304" i="3"/>
  <c r="C304" i="3"/>
  <c r="B305" i="3"/>
  <c r="C305" i="3" s="1"/>
  <c r="B306" i="3"/>
  <c r="C306" i="3"/>
  <c r="B307" i="3"/>
  <c r="C307" i="3"/>
  <c r="B308" i="3"/>
  <c r="C308" i="3" s="1"/>
  <c r="B309" i="3"/>
  <c r="C309" i="3" s="1"/>
  <c r="B310" i="3"/>
  <c r="C310" i="3"/>
  <c r="B311" i="3"/>
  <c r="C311" i="3"/>
  <c r="B312" i="3"/>
  <c r="C312" i="3" s="1"/>
  <c r="B313" i="3"/>
  <c r="C313" i="3"/>
  <c r="B314" i="3"/>
  <c r="C314" i="3" s="1"/>
  <c r="B315" i="3"/>
  <c r="C315" i="3" s="1"/>
  <c r="B316" i="3"/>
  <c r="C316" i="3"/>
  <c r="B317" i="3"/>
  <c r="C317" i="3"/>
  <c r="B318" i="3"/>
  <c r="C318" i="3"/>
  <c r="B319" i="3"/>
  <c r="C319" i="3" s="1"/>
  <c r="B320" i="3"/>
  <c r="C320" i="3" s="1"/>
  <c r="B321" i="3"/>
  <c r="C321" i="3" s="1"/>
  <c r="B322" i="3"/>
  <c r="C322" i="3"/>
  <c r="B323" i="3"/>
  <c r="C323" i="3"/>
  <c r="B324" i="3"/>
  <c r="C324" i="3"/>
  <c r="B325" i="3"/>
  <c r="C325" i="3"/>
  <c r="B326" i="3"/>
  <c r="C326" i="3" s="1"/>
  <c r="B327" i="3"/>
  <c r="C327" i="3" s="1"/>
  <c r="B328" i="3"/>
  <c r="C328" i="3"/>
  <c r="B329" i="3"/>
  <c r="C329" i="3"/>
  <c r="B330" i="3"/>
  <c r="C330" i="3"/>
  <c r="B331" i="3"/>
  <c r="C331" i="3"/>
  <c r="B332" i="3"/>
  <c r="C332" i="3" s="1"/>
  <c r="B333" i="3"/>
  <c r="C333" i="3" s="1"/>
  <c r="B334" i="3"/>
  <c r="C334" i="3" s="1"/>
  <c r="B335" i="3"/>
  <c r="C335" i="3"/>
  <c r="B336" i="3"/>
  <c r="C336" i="3"/>
  <c r="B337" i="3"/>
  <c r="C337" i="3"/>
  <c r="B338" i="3"/>
  <c r="C338" i="3" s="1"/>
  <c r="B339" i="3"/>
  <c r="C339" i="3" s="1"/>
  <c r="B340" i="3"/>
  <c r="C340" i="3"/>
  <c r="B341" i="3"/>
  <c r="C341" i="3" s="1"/>
  <c r="B342" i="3"/>
  <c r="C342" i="3"/>
  <c r="B343" i="3"/>
  <c r="C343" i="3"/>
  <c r="B344" i="3"/>
  <c r="C344" i="3" s="1"/>
  <c r="B345" i="3"/>
  <c r="C345" i="3" s="1"/>
  <c r="B346" i="3"/>
  <c r="C346" i="3"/>
  <c r="B347" i="3"/>
  <c r="C347" i="3"/>
  <c r="B348" i="3"/>
  <c r="C348" i="3" s="1"/>
  <c r="B349" i="3"/>
  <c r="C349" i="3"/>
  <c r="B350" i="3"/>
  <c r="C350" i="3" s="1"/>
  <c r="B351" i="3"/>
  <c r="C351" i="3" s="1"/>
  <c r="B352" i="3"/>
  <c r="C352" i="3"/>
  <c r="B353" i="3"/>
  <c r="C353" i="3"/>
  <c r="B354" i="3"/>
  <c r="C354" i="3"/>
  <c r="B355" i="3"/>
  <c r="C355" i="3" s="1"/>
  <c r="B356" i="3"/>
  <c r="C356" i="3" s="1"/>
  <c r="B357" i="3"/>
  <c r="C357" i="3" s="1"/>
  <c r="B358" i="3"/>
  <c r="C358" i="3"/>
  <c r="B359" i="3"/>
  <c r="C359" i="3"/>
  <c r="B360" i="3"/>
  <c r="C360" i="3"/>
  <c r="B361" i="3"/>
  <c r="C361" i="3"/>
  <c r="B362" i="3"/>
  <c r="C362" i="3" s="1"/>
  <c r="B363" i="3"/>
  <c r="C363" i="3" s="1"/>
  <c r="B364" i="3"/>
  <c r="C364" i="3"/>
  <c r="B365" i="3"/>
  <c r="C365" i="3"/>
  <c r="B366" i="3"/>
  <c r="C366" i="3"/>
  <c r="B367" i="3"/>
  <c r="C367" i="3"/>
  <c r="B368" i="3"/>
  <c r="C368" i="3" s="1"/>
  <c r="B369" i="3"/>
  <c r="C369" i="3" s="1"/>
  <c r="B370" i="3"/>
  <c r="C370" i="3" s="1"/>
  <c r="B371" i="3"/>
  <c r="C371" i="3"/>
  <c r="B372" i="3"/>
  <c r="C372" i="3"/>
  <c r="B373" i="3"/>
  <c r="C373" i="3"/>
  <c r="B374" i="3"/>
  <c r="C374" i="3" s="1"/>
  <c r="B375" i="3"/>
  <c r="C375" i="3" s="1"/>
  <c r="B376" i="3"/>
  <c r="C376" i="3"/>
  <c r="B377" i="3"/>
  <c r="C377" i="3" s="1"/>
  <c r="B378" i="3"/>
  <c r="C378" i="3"/>
  <c r="B379" i="3"/>
  <c r="C379" i="3"/>
  <c r="B380" i="3"/>
  <c r="C380" i="3" s="1"/>
  <c r="B381" i="3"/>
  <c r="C381" i="3" s="1"/>
  <c r="B382" i="3"/>
  <c r="C382" i="3"/>
  <c r="B383" i="3"/>
  <c r="C383" i="3"/>
  <c r="B384" i="3"/>
  <c r="C384" i="3" s="1"/>
  <c r="B385" i="3"/>
  <c r="C385" i="3"/>
  <c r="B386" i="3"/>
  <c r="C386" i="3" s="1"/>
  <c r="B387" i="3"/>
  <c r="C387" i="3" s="1"/>
  <c r="B388" i="3"/>
  <c r="C388" i="3"/>
  <c r="B389" i="3"/>
  <c r="C389" i="3"/>
  <c r="B390" i="3"/>
  <c r="C390" i="3"/>
  <c r="B391" i="3"/>
  <c r="C391" i="3" s="1"/>
  <c r="B392" i="3"/>
  <c r="C392" i="3" s="1"/>
  <c r="B393" i="3"/>
  <c r="C393" i="3" s="1"/>
  <c r="B394" i="3"/>
  <c r="C394" i="3"/>
  <c r="B395" i="3"/>
  <c r="C395" i="3"/>
  <c r="B396" i="3"/>
  <c r="C396" i="3"/>
  <c r="B397" i="3"/>
  <c r="C397" i="3"/>
  <c r="B398" i="3"/>
  <c r="C398" i="3" s="1"/>
  <c r="B399" i="3"/>
  <c r="C399" i="3" s="1"/>
  <c r="B400" i="3"/>
  <c r="C400" i="3"/>
  <c r="B401" i="3"/>
  <c r="C401" i="3"/>
  <c r="B402" i="3"/>
  <c r="C402" i="3"/>
  <c r="B403" i="3"/>
  <c r="C403" i="3"/>
  <c r="B404" i="3"/>
  <c r="C404" i="3" s="1"/>
  <c r="B405" i="3"/>
  <c r="C405" i="3" s="1"/>
  <c r="B406" i="3"/>
  <c r="C406" i="3" s="1"/>
  <c r="B407" i="3"/>
  <c r="C407" i="3"/>
  <c r="B408" i="3"/>
  <c r="C408" i="3"/>
  <c r="B409" i="3"/>
  <c r="C409" i="3"/>
  <c r="B410" i="3"/>
  <c r="C410" i="3" s="1"/>
  <c r="B411" i="3"/>
  <c r="C411" i="3" s="1"/>
  <c r="B412" i="3"/>
  <c r="C412" i="3"/>
  <c r="B413" i="3"/>
  <c r="C413" i="3" s="1"/>
  <c r="B5" i="3"/>
  <c r="C5" i="3" s="1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N11" i="2" l="1"/>
  <c r="O208" i="3"/>
  <c r="O334" i="3"/>
  <c r="O323" i="3"/>
  <c r="O245" i="3"/>
  <c r="O235" i="3"/>
  <c r="O173" i="3"/>
  <c r="O117" i="3"/>
  <c r="O28" i="3"/>
  <c r="O16" i="3"/>
  <c r="O183" i="3"/>
  <c r="O132" i="3"/>
  <c r="O104" i="3"/>
  <c r="O258" i="3"/>
  <c r="O409" i="3"/>
  <c r="O377" i="3"/>
  <c r="O322" i="3"/>
  <c r="O311" i="3"/>
  <c r="O266" i="3"/>
  <c r="O234" i="3"/>
  <c r="O128" i="3"/>
  <c r="O49" i="3"/>
  <c r="O38" i="3"/>
  <c r="O15" i="3"/>
  <c r="O181" i="3"/>
  <c r="O129" i="3"/>
  <c r="O102" i="3"/>
  <c r="O48" i="3"/>
  <c r="O408" i="3"/>
  <c r="O386" i="3"/>
  <c r="O344" i="3"/>
  <c r="O332" i="3"/>
  <c r="O182" i="3"/>
  <c r="O161" i="3"/>
  <c r="O127" i="3"/>
  <c r="O70" i="3"/>
  <c r="O73" i="3"/>
  <c r="O320" i="3"/>
  <c r="O287" i="3"/>
  <c r="O243" i="3"/>
  <c r="O114" i="3"/>
  <c r="O69" i="3"/>
  <c r="O25" i="3"/>
  <c r="O201" i="3"/>
  <c r="O252" i="3"/>
  <c r="O242" i="3"/>
  <c r="O136" i="3"/>
  <c r="O125" i="3"/>
  <c r="O24" i="3"/>
  <c r="O144" i="3"/>
  <c r="O221" i="3"/>
  <c r="O179" i="3"/>
  <c r="O147" i="3"/>
  <c r="O124" i="3"/>
  <c r="O45" i="3"/>
  <c r="O23" i="3"/>
  <c r="O231" i="3"/>
  <c r="O394" i="3"/>
  <c r="O383" i="3"/>
  <c r="O209" i="3"/>
  <c r="O101" i="3"/>
  <c r="O66" i="3"/>
  <c r="O56" i="3"/>
  <c r="O44" i="3"/>
  <c r="O10" i="3"/>
  <c r="O37" i="3"/>
  <c r="O9" i="3"/>
  <c r="O61" i="3"/>
  <c r="O272" i="3"/>
  <c r="O219" i="3"/>
  <c r="O88" i="3"/>
  <c r="O65" i="3"/>
  <c r="O21" i="3"/>
  <c r="O85" i="3"/>
  <c r="O229" i="3"/>
  <c r="O195" i="3"/>
  <c r="O370" i="3"/>
  <c r="O239" i="3"/>
  <c r="O20" i="3"/>
  <c r="O8" i="3"/>
  <c r="O145" i="3"/>
  <c r="O84" i="3"/>
  <c r="O112" i="3"/>
  <c r="O337" i="3"/>
  <c r="O314" i="3"/>
  <c r="O293" i="3"/>
  <c r="O281" i="3"/>
  <c r="O196" i="3"/>
  <c r="O175" i="3"/>
  <c r="O98" i="3"/>
  <c r="O358" i="3"/>
  <c r="O347" i="3"/>
  <c r="O292" i="3"/>
  <c r="O269" i="3"/>
  <c r="O206" i="3"/>
  <c r="O108" i="3"/>
  <c r="O30" i="3"/>
  <c r="O379" i="3"/>
  <c r="O257" i="3"/>
  <c r="O215" i="3"/>
  <c r="O185" i="3"/>
  <c r="O96" i="3"/>
  <c r="O94" i="3"/>
  <c r="O214" i="3"/>
  <c r="O148" i="3"/>
  <c r="O250" i="3"/>
  <c r="O178" i="3"/>
  <c r="O198" i="3"/>
  <c r="O100" i="3"/>
  <c r="O160" i="3"/>
  <c r="O52" i="3"/>
  <c r="O86" i="3"/>
  <c r="O352" i="3"/>
  <c r="O184" i="3"/>
  <c r="O202" i="3"/>
  <c r="O192" i="3"/>
  <c r="O67" i="3"/>
  <c r="O150" i="3"/>
  <c r="O26" i="3"/>
  <c r="O103" i="3"/>
  <c r="O351" i="3"/>
  <c r="O310" i="3"/>
  <c r="O279" i="3"/>
  <c r="O62" i="3"/>
  <c r="O168" i="3"/>
  <c r="O157" i="3"/>
  <c r="O36" i="3"/>
  <c r="O308" i="3"/>
  <c r="O140" i="3"/>
  <c r="O153" i="3"/>
  <c r="O390" i="3"/>
  <c r="O313" i="3"/>
  <c r="O211" i="3"/>
  <c r="O31" i="3"/>
  <c r="O343" i="3"/>
  <c r="O373" i="3"/>
  <c r="O275" i="3"/>
  <c r="O395" i="3"/>
  <c r="O341" i="3"/>
  <c r="O278" i="3"/>
  <c r="O291" i="3"/>
  <c r="O399" i="3"/>
  <c r="O363" i="3"/>
  <c r="O411" i="3"/>
  <c r="O303" i="3"/>
  <c r="O152" i="3"/>
  <c r="O378" i="3"/>
  <c r="O315" i="3"/>
  <c r="O327" i="3"/>
  <c r="O331" i="3"/>
  <c r="O264" i="3"/>
  <c r="O359" i="3"/>
  <c r="O339" i="3"/>
  <c r="O413" i="3"/>
  <c r="O382" i="3"/>
  <c r="O305" i="3"/>
  <c r="O355" i="3"/>
  <c r="O400" i="3"/>
  <c r="O149" i="3"/>
  <c r="O328" i="3"/>
  <c r="O407" i="3"/>
  <c r="O371" i="3"/>
  <c r="O366" i="3"/>
  <c r="O335" i="3"/>
  <c r="O299" i="3"/>
  <c r="O401" i="3"/>
  <c r="O396" i="3"/>
  <c r="O365" i="3"/>
  <c r="O360" i="3"/>
  <c r="O329" i="3"/>
  <c r="O410" i="3"/>
  <c r="O374" i="3"/>
  <c r="O338" i="3"/>
  <c r="O302" i="3"/>
  <c r="O389" i="3"/>
  <c r="O353" i="3"/>
  <c r="O348" i="3"/>
  <c r="O317" i="3"/>
  <c r="O362" i="3"/>
  <c r="O326" i="3"/>
  <c r="O155" i="3"/>
  <c r="O11" i="3"/>
  <c r="O131" i="3"/>
  <c r="O191" i="3"/>
  <c r="O107" i="3"/>
  <c r="O240" i="3"/>
  <c r="O357" i="3"/>
  <c r="O336" i="3"/>
  <c r="O276" i="3"/>
  <c r="O249" i="3"/>
  <c r="O405" i="3"/>
  <c r="O203" i="3"/>
  <c r="O263" i="3"/>
  <c r="O248" i="3"/>
  <c r="O213" i="3"/>
  <c r="O158" i="3"/>
  <c r="O225" i="3"/>
  <c r="O260" i="3"/>
  <c r="O228" i="3"/>
  <c r="O212" i="3"/>
  <c r="O232" i="3"/>
  <c r="O167" i="3"/>
  <c r="O294" i="3"/>
  <c r="O282" i="3"/>
  <c r="O216" i="3"/>
  <c r="O194" i="3"/>
  <c r="O176" i="3"/>
  <c r="O256" i="3"/>
  <c r="O220" i="3"/>
  <c r="O180" i="3"/>
  <c r="O89" i="3"/>
  <c r="O35" i="3"/>
  <c r="O22" i="3"/>
  <c r="O34" i="3"/>
  <c r="O76" i="3"/>
  <c r="O47" i="3"/>
  <c r="O46" i="3"/>
  <c r="O143" i="3"/>
  <c r="O59" i="3"/>
  <c r="O17" i="3"/>
  <c r="O53" i="3"/>
  <c r="O164" i="3"/>
  <c r="O130" i="3"/>
  <c r="O251" i="3"/>
  <c r="O154" i="3"/>
  <c r="O262" i="3"/>
  <c r="O412" i="3"/>
  <c r="O244" i="3"/>
  <c r="O406" i="3"/>
  <c r="O166" i="3"/>
  <c r="O118" i="3"/>
  <c r="O142" i="3"/>
  <c r="O286" i="3"/>
  <c r="O238" i="3"/>
  <c r="O404" i="3"/>
  <c r="O304" i="3"/>
  <c r="O268" i="3"/>
  <c r="O106" i="3"/>
  <c r="O261" i="3"/>
  <c r="O134" i="3"/>
  <c r="O274" i="3"/>
  <c r="O19" i="3"/>
  <c r="O230" i="3"/>
  <c r="O270" i="3"/>
  <c r="O170" i="3"/>
  <c r="O290" i="3"/>
  <c r="O83" i="3"/>
  <c r="O14" i="3"/>
  <c r="O356" i="3"/>
  <c r="O350" i="3"/>
  <c r="O296" i="3"/>
  <c r="O280" i="3"/>
  <c r="O285" i="3"/>
  <c r="O307" i="3"/>
  <c r="O284" i="3"/>
  <c r="O265" i="3"/>
  <c r="O368" i="3"/>
  <c r="O384" i="3"/>
  <c r="O372" i="3"/>
  <c r="O354" i="3"/>
  <c r="O342" i="3"/>
  <c r="O330" i="3"/>
  <c r="O324" i="3"/>
  <c r="O318" i="3"/>
  <c r="O312" i="3"/>
  <c r="O306" i="3"/>
  <c r="O300" i="3"/>
  <c r="O289" i="3"/>
  <c r="O283" i="3"/>
  <c r="O273" i="3"/>
  <c r="O380" i="3"/>
  <c r="O288" i="3"/>
  <c r="O325" i="3"/>
  <c r="O398" i="3"/>
  <c r="O277" i="3"/>
  <c r="O349" i="3"/>
  <c r="O402" i="3"/>
  <c r="O388" i="3"/>
  <c r="O376" i="3"/>
  <c r="O364" i="3"/>
  <c r="O346" i="3"/>
  <c r="O340" i="3"/>
  <c r="O316" i="3"/>
  <c r="O298" i="3"/>
  <c r="O259" i="3"/>
  <c r="O392" i="3"/>
  <c r="O295" i="3"/>
  <c r="O393" i="3"/>
  <c r="O381" i="3"/>
  <c r="O369" i="3"/>
  <c r="O345" i="3"/>
  <c r="O333" i="3"/>
  <c r="O321" i="3"/>
  <c r="O309" i="3"/>
  <c r="O297" i="3"/>
  <c r="O271" i="3"/>
  <c r="O253" i="3"/>
  <c r="O236" i="3"/>
  <c r="O224" i="3"/>
  <c r="O162" i="3"/>
  <c r="O146" i="3"/>
  <c r="O241" i="3"/>
  <c r="O119" i="3"/>
  <c r="O92" i="3"/>
  <c r="O77" i="3"/>
  <c r="O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<sst xmlns="http://schemas.openxmlformats.org/spreadsheetml/2006/main" count="2113" uniqueCount="1089">
  <si>
    <t>Alias</t>
  </si>
  <si>
    <t>Canonical</t>
  </si>
  <si>
    <t>SteelType</t>
  </si>
  <si>
    <t>CIRCULAR HOLLOW SECTION</t>
  </si>
  <si>
    <t>CHS</t>
  </si>
  <si>
    <t>PIPE</t>
  </si>
  <si>
    <t>CIRCULAR HOLLOW</t>
  </si>
  <si>
    <t>STEEL PIPE</t>
  </si>
  <si>
    <t>TUBE</t>
  </si>
  <si>
    <t>ROUND PIPE</t>
  </si>
  <si>
    <t>ROUND TUBE</t>
  </si>
  <si>
    <t>GI PIPE</t>
  </si>
  <si>
    <t>MS PIPE</t>
  </si>
  <si>
    <t>RHS</t>
  </si>
  <si>
    <t>BOX</t>
  </si>
  <si>
    <t>SHS</t>
  </si>
  <si>
    <t>RECTANGULAR HOLLOW SECTION</t>
  </si>
  <si>
    <t>RECTANGULAR HOLLOW</t>
  </si>
  <si>
    <t>SQUARE HOLLOW SECTION</t>
  </si>
  <si>
    <t>SQUARE HOLLOW</t>
  </si>
  <si>
    <t>HOLLOW SECTION</t>
  </si>
  <si>
    <t>BOX STEEL</t>
  </si>
  <si>
    <t>H-BEAM</t>
  </si>
  <si>
    <t>I</t>
  </si>
  <si>
    <t>H BEAM</t>
  </si>
  <si>
    <t>I-BEAM</t>
  </si>
  <si>
    <t>I BEAM</t>
  </si>
  <si>
    <t>WIDE FLANGE</t>
  </si>
  <si>
    <t>UB</t>
  </si>
  <si>
    <t>UC</t>
  </si>
  <si>
    <t>IPE</t>
  </si>
  <si>
    <t>IPN</t>
  </si>
  <si>
    <t>HEA</t>
  </si>
  <si>
    <t>HEB</t>
  </si>
  <si>
    <t>HEM</t>
  </si>
  <si>
    <t>WF</t>
  </si>
  <si>
    <t>UNIVERSAL BEAM</t>
  </si>
  <si>
    <t>UNIVERSAL COLUMN</t>
  </si>
  <si>
    <t>ANGLE</t>
  </si>
  <si>
    <t>L</t>
  </si>
  <si>
    <t>V</t>
  </si>
  <si>
    <t>ANGLE BAR</t>
  </si>
  <si>
    <t>EQUAL ANGLE</t>
  </si>
  <si>
    <t>UNEQUAL ANGLE</t>
  </si>
  <si>
    <t>L-ANGLE</t>
  </si>
  <si>
    <t>L ANGLE</t>
  </si>
  <si>
    <t>L BAR</t>
  </si>
  <si>
    <t>CHANNEL</t>
  </si>
  <si>
    <t>U</t>
  </si>
  <si>
    <t>C CHANNEL</t>
  </si>
  <si>
    <t>U CHANNEL</t>
  </si>
  <si>
    <t>CHANNEL BAR</t>
  </si>
  <si>
    <t>UPN</t>
  </si>
  <si>
    <t>UPE</t>
  </si>
  <si>
    <t>CNP</t>
  </si>
  <si>
    <t>C-CHANNEL</t>
  </si>
  <si>
    <t>U-BEAM</t>
  </si>
  <si>
    <t>PFC</t>
  </si>
  <si>
    <t>PARALLEL FLANGE CHANNEL</t>
  </si>
  <si>
    <t>EA</t>
  </si>
  <si>
    <t>UA</t>
  </si>
  <si>
    <t>WB</t>
  </si>
  <si>
    <t>WC</t>
  </si>
  <si>
    <t>PL</t>
  </si>
  <si>
    <t>FL</t>
  </si>
  <si>
    <t>PLATE</t>
  </si>
  <si>
    <t>FLAT</t>
  </si>
  <si>
    <t>C</t>
  </si>
  <si>
    <t>WEIGHT</t>
  </si>
  <si>
    <t>DEPTH</t>
  </si>
  <si>
    <t>WIDTH</t>
  </si>
  <si>
    <t>WEB THICKNESS</t>
  </si>
  <si>
    <t>THICKNESS OF FLANGE</t>
  </si>
  <si>
    <t>DEPTH BETWEEN FLANGES</t>
  </si>
  <si>
    <t>GROSS SECTION AREA</t>
  </si>
  <si>
    <t>Member</t>
  </si>
  <si>
    <t>kg/m</t>
  </si>
  <si>
    <t xml:space="preserve">d </t>
  </si>
  <si>
    <r>
      <t>b</t>
    </r>
    <r>
      <rPr>
        <b/>
        <vertAlign val="subscript"/>
        <sz val="11"/>
        <color theme="1"/>
        <rFont val="Arial"/>
        <family val="2"/>
        <scheme val="minor"/>
      </rPr>
      <t>f</t>
    </r>
  </si>
  <si>
    <r>
      <t>t</t>
    </r>
    <r>
      <rPr>
        <b/>
        <vertAlign val="subscript"/>
        <sz val="11"/>
        <color theme="1"/>
        <rFont val="Arial"/>
        <family val="2"/>
        <scheme val="minor"/>
      </rPr>
      <t>w</t>
    </r>
  </si>
  <si>
    <r>
      <t>t</t>
    </r>
    <r>
      <rPr>
        <b/>
        <vertAlign val="subscript"/>
        <sz val="11"/>
        <color theme="1"/>
        <rFont val="Arial"/>
        <family val="2"/>
        <scheme val="minor"/>
      </rPr>
      <t>f</t>
    </r>
  </si>
  <si>
    <r>
      <t>d</t>
    </r>
    <r>
      <rPr>
        <b/>
        <vertAlign val="subscript"/>
        <sz val="11"/>
        <color theme="1"/>
        <rFont val="Arial"/>
        <family val="2"/>
        <scheme val="minor"/>
      </rPr>
      <t>1</t>
    </r>
  </si>
  <si>
    <r>
      <t>A</t>
    </r>
    <r>
      <rPr>
        <b/>
        <vertAlign val="subscript"/>
        <sz val="11"/>
        <color theme="1"/>
        <rFont val="Arial"/>
        <family val="2"/>
        <scheme val="minor"/>
      </rPr>
      <t>g</t>
    </r>
  </si>
  <si>
    <t>mm</t>
  </si>
  <si>
    <r>
      <t>mm</t>
    </r>
    <r>
      <rPr>
        <b/>
        <vertAlign val="superscript"/>
        <sz val="11"/>
        <color theme="1"/>
        <rFont val="Arial"/>
        <family val="2"/>
        <scheme val="minor"/>
      </rPr>
      <t>2</t>
    </r>
  </si>
  <si>
    <t>1200WB455</t>
  </si>
  <si>
    <t>1200WB423</t>
  </si>
  <si>
    <t>1200WB392</t>
  </si>
  <si>
    <t>1200WB342</t>
  </si>
  <si>
    <t>1200WB317</t>
  </si>
  <si>
    <t>1200WB278</t>
  </si>
  <si>
    <t>1200WB249</t>
  </si>
  <si>
    <t>1000WB322</t>
  </si>
  <si>
    <t>1000WB296</t>
  </si>
  <si>
    <t>1000WB258</t>
  </si>
  <si>
    <t>1000WB215</t>
  </si>
  <si>
    <t>900WB282</t>
  </si>
  <si>
    <t>900WB257</t>
  </si>
  <si>
    <t>900WB218</t>
  </si>
  <si>
    <t>900WB175</t>
  </si>
  <si>
    <t>800WB192</t>
  </si>
  <si>
    <t>800WB168</t>
  </si>
  <si>
    <t>800WB146</t>
  </si>
  <si>
    <t>800WB122</t>
  </si>
  <si>
    <t>700WB173</t>
  </si>
  <si>
    <t>700WB150</t>
  </si>
  <si>
    <t>700WB130</t>
  </si>
  <si>
    <t>700WB115</t>
  </si>
  <si>
    <t>500WC440</t>
  </si>
  <si>
    <t>500WC414</t>
  </si>
  <si>
    <t>500WC383</t>
  </si>
  <si>
    <t>500WC340</t>
  </si>
  <si>
    <t>500WC290</t>
  </si>
  <si>
    <t>500WC267</t>
  </si>
  <si>
    <t>500WC228</t>
  </si>
  <si>
    <t>400WC361</t>
  </si>
  <si>
    <t>400WC328</t>
  </si>
  <si>
    <t>400WC303</t>
  </si>
  <si>
    <t>400WC270</t>
  </si>
  <si>
    <t>400WC212</t>
  </si>
  <si>
    <t>400WC181</t>
  </si>
  <si>
    <t>400WC144</t>
  </si>
  <si>
    <t>350WC280</t>
  </si>
  <si>
    <t>350WC258</t>
  </si>
  <si>
    <t>350WC230</t>
  </si>
  <si>
    <t>350WC197</t>
  </si>
  <si>
    <t>610UB125</t>
  </si>
  <si>
    <t>610UB113</t>
  </si>
  <si>
    <t>610UB101</t>
  </si>
  <si>
    <t>530UB92.4</t>
  </si>
  <si>
    <t>530UB82.0</t>
  </si>
  <si>
    <t>460UB82.1</t>
  </si>
  <si>
    <t>460UB74.6</t>
  </si>
  <si>
    <t>460UB67.1</t>
  </si>
  <si>
    <t>410UB59.7</t>
  </si>
  <si>
    <t>410UB53.7</t>
  </si>
  <si>
    <t>360UB56.7</t>
  </si>
  <si>
    <t>360UB50.7</t>
  </si>
  <si>
    <t>360UB44.7</t>
  </si>
  <si>
    <t>310UB46.2</t>
  </si>
  <si>
    <t>310UB40.4</t>
  </si>
  <si>
    <t>310UB32.0</t>
  </si>
  <si>
    <t>250UB37.3</t>
  </si>
  <si>
    <t>250UB31.4</t>
  </si>
  <si>
    <t>250UB25.7</t>
  </si>
  <si>
    <t>200UB29.8</t>
  </si>
  <si>
    <t>200UB25.4</t>
  </si>
  <si>
    <t>200UB22.3</t>
  </si>
  <si>
    <t>200UB18.2</t>
  </si>
  <si>
    <t>180UB22.2</t>
  </si>
  <si>
    <t>180UB18.1</t>
  </si>
  <si>
    <t>180UB16.1</t>
  </si>
  <si>
    <t>150UB18.0</t>
  </si>
  <si>
    <t>150UB14.0</t>
  </si>
  <si>
    <t>310UC158</t>
  </si>
  <si>
    <t>310UC137</t>
  </si>
  <si>
    <t>310UC118</t>
  </si>
  <si>
    <t>310UC96.8</t>
  </si>
  <si>
    <t>250UC89.5</t>
  </si>
  <si>
    <t>250UC72.9</t>
  </si>
  <si>
    <t>200UC59.5</t>
  </si>
  <si>
    <t>200UC52.2</t>
  </si>
  <si>
    <t>200UC46.2</t>
  </si>
  <si>
    <t>150UC37.2</t>
  </si>
  <si>
    <t>150UC30.0</t>
  </si>
  <si>
    <t>150UC23.4</t>
  </si>
  <si>
    <t>100UC14.8</t>
  </si>
  <si>
    <t>W44X335</t>
  </si>
  <si>
    <t>W44X290</t>
  </si>
  <si>
    <t>W44X262</t>
  </si>
  <si>
    <t>W44X230</t>
  </si>
  <si>
    <t>W40X655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</si>
  <si>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</si>
  <si>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</si>
  <si>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</si>
  <si>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</si>
  <si>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</si>
  <si>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</si>
  <si>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</si>
  <si>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</si>
  <si>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</si>
  <si>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</si>
  <si>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</si>
  <si>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</si>
  <si>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</si>
  <si>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</si>
  <si>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</si>
  <si>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</si>
  <si>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</si>
  <si>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</si>
  <si>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</si>
  <si>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</si>
  <si>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</si>
  <si>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</si>
  <si>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</si>
  <si>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W36X925</t>
  </si>
  <si>
    <t>W36X853</t>
  </si>
  <si>
    <t>W36X802</t>
  </si>
  <si>
    <t>W36X723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</si>
  <si>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</si>
  <si>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</si>
  <si>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</si>
  <si>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</si>
  <si>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</si>
  <si>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</si>
  <si>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</si>
  <si>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</si>
  <si>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</si>
  <si>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</si>
  <si>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</si>
  <si>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</si>
  <si>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</si>
  <si>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</si>
  <si>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</si>
  <si>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</si>
  <si>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</si>
  <si>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</si>
  <si>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</si>
  <si>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</si>
  <si>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</si>
  <si>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</si>
  <si>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</si>
  <si>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</si>
  <si>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</si>
  <si>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</si>
  <si>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</si>
  <si>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</si>
  <si>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</si>
  <si>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</si>
  <si>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</si>
  <si>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</si>
  <si>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</si>
  <si>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</si>
  <si>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</si>
  <si>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</si>
  <si>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</si>
  <si>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</si>
  <si>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</si>
  <si>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</si>
  <si>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</si>
  <si>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</si>
  <si>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</si>
  <si>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</si>
  <si>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</si>
  <si>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</si>
  <si>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</si>
  <si>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</si>
  <si>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</si>
  <si>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</si>
  <si>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</si>
  <si>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</si>
  <si>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</si>
  <si>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</si>
  <si>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</si>
  <si>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</si>
  <si>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</si>
  <si>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</si>
  <si>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</si>
  <si>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</si>
  <si>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</si>
  <si>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</si>
  <si>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</si>
  <si>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</si>
  <si>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</si>
  <si>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</si>
  <si>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</si>
  <si>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</si>
  <si>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</si>
  <si>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</si>
  <si>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</si>
  <si>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</si>
  <si>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</si>
  <si>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</si>
  <si>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</si>
  <si>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</si>
  <si>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</si>
  <si>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</si>
  <si>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</si>
  <si>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</si>
  <si>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</si>
  <si>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</si>
  <si>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</si>
  <si>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</si>
  <si>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</si>
  <si>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</si>
  <si>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</si>
  <si>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</si>
  <si>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W21X275</t>
  </si>
  <si>
    <t>W21X248</t>
  </si>
  <si>
    <t>W21X223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</si>
  <si>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</si>
  <si>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</si>
  <si>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</si>
  <si>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</si>
  <si>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</si>
  <si>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</si>
  <si>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</si>
  <si>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</si>
  <si>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</si>
  <si>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</si>
  <si>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</si>
  <si>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</si>
  <si>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</si>
  <si>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</si>
  <si>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</si>
  <si>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</si>
  <si>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</si>
  <si>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</si>
  <si>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</si>
  <si>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</si>
  <si>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</si>
  <si>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</si>
  <si>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</si>
  <si>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</si>
  <si>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</si>
  <si>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</si>
  <si>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</si>
  <si>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</si>
  <si>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</si>
  <si>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</si>
  <si>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</si>
  <si>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</si>
  <si>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</si>
  <si>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</si>
  <si>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</si>
  <si>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</si>
  <si>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</si>
  <si>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</si>
  <si>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</si>
  <si>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</si>
  <si>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</si>
  <si>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</si>
  <si>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</si>
  <si>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</si>
  <si>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</si>
  <si>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</si>
  <si>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</si>
  <si>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</si>
  <si>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</si>
  <si>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</si>
  <si>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</si>
  <si>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</si>
  <si>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W14X873</t>
  </si>
  <si>
    <t>W14X808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</si>
  <si>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</si>
  <si>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</si>
  <si>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</si>
  <si>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</si>
  <si>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</si>
  <si>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</si>
  <si>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</si>
  <si>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</si>
  <si>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</si>
  <si>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</si>
  <si>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</si>
  <si>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</si>
  <si>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</si>
  <si>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</si>
  <si>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</si>
  <si>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</si>
  <si>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</si>
  <si>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</si>
  <si>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</si>
  <si>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</si>
  <si>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</si>
  <si>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</si>
  <si>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</si>
  <si>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</si>
  <si>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</si>
  <si>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</si>
  <si>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</si>
  <si>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</si>
  <si>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</si>
  <si>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</si>
  <si>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</si>
  <si>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</si>
  <si>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</si>
  <si>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</si>
  <si>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</si>
  <si>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</si>
  <si>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</si>
  <si>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</si>
  <si>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</si>
  <si>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</si>
  <si>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</si>
  <si>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</si>
  <si>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</si>
  <si>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</si>
  <si>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</si>
  <si>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</si>
  <si>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</si>
  <si>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</si>
  <si>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</si>
  <si>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</si>
  <si>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</si>
  <si>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</si>
  <si>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</si>
  <si>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</si>
  <si>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</si>
  <si>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</si>
  <si>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</si>
  <si>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</si>
  <si>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</si>
  <si>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</si>
  <si>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</si>
  <si>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</si>
  <si>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</si>
  <si>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</si>
  <si>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</si>
  <si>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</si>
  <si>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</si>
  <si>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</si>
  <si>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</si>
  <si>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</si>
  <si>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</si>
  <si>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</si>
  <si>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</si>
  <si>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</si>
  <si>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</si>
  <si>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</si>
  <si>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</si>
  <si>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</si>
  <si>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</si>
  <si>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</si>
  <si>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</si>
  <si>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</si>
  <si>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</si>
  <si>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</si>
  <si>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</si>
  <si>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</si>
  <si>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</si>
  <si>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</si>
  <si>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</si>
  <si>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</si>
  <si>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</si>
  <si>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</si>
  <si>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</si>
  <si>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</si>
  <si>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</si>
  <si>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</si>
  <si>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</si>
  <si>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</si>
  <si>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</si>
  <si>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</si>
  <si>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</si>
  <si>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</si>
  <si>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</si>
  <si>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</si>
  <si>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</si>
  <si>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</si>
  <si>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HEA 100</t>
  </si>
  <si>
    <t>HEA 120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</si>
  <si>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</si>
  <si>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</si>
  <si>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</si>
  <si>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</si>
  <si>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</si>
  <si>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</si>
  <si>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</si>
  <si>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</si>
  <si>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</si>
  <si>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400</t>
  </si>
  <si>
    <t>HEA 500</t>
  </si>
  <si>
    <t>HEB 100</t>
  </si>
  <si>
    <t>HEB 120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</si>
  <si>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</si>
  <si>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</si>
  <si>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</si>
  <si>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</si>
  <si>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</si>
  <si>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</si>
  <si>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</si>
  <si>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</si>
  <si>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</si>
  <si>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HEB 400</t>
  </si>
  <si>
    <t>HEB 500</t>
  </si>
  <si>
    <t>HEM 100</t>
  </si>
  <si>
    <t>HEM 120</t>
  </si>
  <si>
    <t>HEM 140</t>
  </si>
  <si>
    <t>HEM 160</t>
  </si>
  <si>
    <t>HEM 180</t>
  </si>
  <si>
    <t>HEM 200</t>
  </si>
  <si>
    <t>HEM 220</t>
  </si>
  <si>
    <t>HEM 240</t>
  </si>
  <si>
    <t>HEM 260</t>
  </si>
  <si>
    <t>HEM 280</t>
  </si>
  <si>
    <t>HEM 300</t>
  </si>
  <si>
    <t>HP 200x53</t>
  </si>
  <si>
    <t>HP 220x57</t>
  </si>
  <si>
    <t>HP 260x75</t>
  </si>
  <si>
    <t>HP 300x88</t>
  </si>
  <si>
    <t>HP 320x117</t>
  </si>
  <si>
    <t>HP 360x133</t>
  </si>
  <si>
    <t>HP 400x176</t>
  </si>
  <si>
    <t>Commercial_Name</t>
  </si>
  <si>
    <t>Dim_1</t>
  </si>
  <si>
    <t>Dim_2</t>
  </si>
  <si>
    <t>Dim_3</t>
  </si>
  <si>
    <t>Dim_4</t>
  </si>
  <si>
    <t>Weight_Per_Meter</t>
  </si>
  <si>
    <t>W44</t>
  </si>
  <si>
    <t>W40</t>
  </si>
  <si>
    <t>W36</t>
  </si>
  <si>
    <t>W33</t>
  </si>
  <si>
    <t>W30</t>
  </si>
  <si>
    <t>W27</t>
  </si>
  <si>
    <t>W24</t>
  </si>
  <si>
    <t>W21</t>
  </si>
  <si>
    <t>W18</t>
  </si>
  <si>
    <t>W16</t>
  </si>
  <si>
    <t>W14</t>
  </si>
  <si>
    <t>W12</t>
  </si>
  <si>
    <t>W10</t>
  </si>
  <si>
    <t>W8</t>
  </si>
  <si>
    <t>W6</t>
  </si>
  <si>
    <t>W5</t>
  </si>
  <si>
    <t>W4</t>
  </si>
  <si>
    <t>HP 200</t>
  </si>
  <si>
    <t>HP 220</t>
  </si>
  <si>
    <t>HP 260</t>
  </si>
  <si>
    <t>HP 300</t>
  </si>
  <si>
    <t>HP 320</t>
  </si>
  <si>
    <t>HP 360</t>
  </si>
  <si>
    <t>HP 400</t>
  </si>
  <si>
    <t>380PFC</t>
  </si>
  <si>
    <t>300PFC</t>
  </si>
  <si>
    <t>250PFC</t>
  </si>
  <si>
    <t>230PFC</t>
  </si>
  <si>
    <t>200PFC</t>
  </si>
  <si>
    <t>180PFC</t>
  </si>
  <si>
    <t>150PFC</t>
  </si>
  <si>
    <t>125PFC</t>
  </si>
  <si>
    <t>100PFC</t>
  </si>
  <si>
    <t>75PFC</t>
  </si>
  <si>
    <t>U 380</t>
  </si>
  <si>
    <t>U 300</t>
  </si>
  <si>
    <t>U 250</t>
  </si>
  <si>
    <t>U 230</t>
  </si>
  <si>
    <t>U 200</t>
  </si>
  <si>
    <t>U 180</t>
  </si>
  <si>
    <t>U 150</t>
  </si>
  <si>
    <t>U 125</t>
  </si>
  <si>
    <t>U 100</t>
  </si>
  <si>
    <t>Normalized_Name</t>
  </si>
  <si>
    <t>U 75</t>
  </si>
  <si>
    <t>Substitute section</t>
  </si>
  <si>
    <t>V 75 x 5ly x 6m_ 5.82 kg/m</t>
  </si>
  <si>
    <t>V 75 x 5ly x 6m_ 5.22 kg/m</t>
  </si>
  <si>
    <t>V 75 x 6ly x 6m_ 6.25 kg/m</t>
  </si>
  <si>
    <t>V 75 x 6ly x 12m_ 6.25 kg/m</t>
  </si>
  <si>
    <t>V 75 x 6ly x 6m_ 6.78 kg/m</t>
  </si>
  <si>
    <t>V 75 x 6ly x 12m_ 6.78 kg/m</t>
  </si>
  <si>
    <t>V 75 x 6ly x 6m_ 6.85 kg/m</t>
  </si>
  <si>
    <t>V 75 x 6ly x 12m_ 6.85 kg/m</t>
  </si>
  <si>
    <t>V 75 x 7ly x 6m_ 7,3 kg/m</t>
  </si>
  <si>
    <t>V 75 x 7ly x 12m_ 7,3 kg/m</t>
  </si>
  <si>
    <t>V 75 x 7ly x 6m_ 7,81 kg/m</t>
  </si>
  <si>
    <t>V 75 x 7ly x 6m_ 7,9 kg/m</t>
  </si>
  <si>
    <t>V 75 x 7ly x 12m_ 7,81 kg/m</t>
  </si>
  <si>
    <t>V 75 x 8ly x 6m_ 8,92 kg/m</t>
  </si>
  <si>
    <t>V 75 x 8ly x 12m_ 8,92 kg/m</t>
  </si>
  <si>
    <t>V 75 x 9ly x 6m_ 9,96 kg/m</t>
  </si>
  <si>
    <t>V 75 x 9ly x 12m_ 9,96 kg/m</t>
  </si>
  <si>
    <t>V 75 x 9ly x 6m_ 10.06 kg/m</t>
  </si>
  <si>
    <t>V 75 x 9ly x 12m_ 10.06 kg/m</t>
  </si>
  <si>
    <t>TIẾT DIỆN</t>
  </si>
  <si>
    <t>GHI CHÚ</t>
  </si>
  <si>
    <t>Có hàng</t>
  </si>
  <si>
    <t>Check lại</t>
  </si>
  <si>
    <t>-</t>
  </si>
  <si>
    <t>D 17.3 x 1.9</t>
  </si>
  <si>
    <t>D 21.2 x 1.6</t>
  </si>
  <si>
    <t>D 21.2 x 1.9</t>
  </si>
  <si>
    <t>D 21.2 x 2.1</t>
  </si>
  <si>
    <t>D 21.2 x 2.3</t>
  </si>
  <si>
    <t>D 21.3 x 2.77</t>
  </si>
  <si>
    <t>D 21.4 x 2.6</t>
  </si>
  <si>
    <t>D 22.2 x 2.0</t>
  </si>
  <si>
    <t>D 22.2 x 3.0</t>
  </si>
  <si>
    <t>D 26.62 x 1.6</t>
  </si>
  <si>
    <t>D 26.62 x 1.9</t>
  </si>
  <si>
    <t>D 26.62 x 2.0</t>
  </si>
  <si>
    <t>D 26.62 x 2.1</t>
  </si>
  <si>
    <t>D 26.62 x 2.3</t>
  </si>
  <si>
    <t>D 26.7 x 2.87</t>
  </si>
  <si>
    <t>D 26.9 x 2.6</t>
  </si>
  <si>
    <t>D 26.9 x 4.0</t>
  </si>
  <si>
    <t>D 33.4 x 3.38</t>
  </si>
  <si>
    <t>D 33.5 x 1.6</t>
  </si>
  <si>
    <t>D 33.5 x 1.8</t>
  </si>
  <si>
    <t>D 33.5 x 2.0</t>
  </si>
  <si>
    <t>D 33.5 x 2.1</t>
  </si>
  <si>
    <t>D 33.5 x 2.3</t>
  </si>
  <si>
    <t>D 33.5 x 2.6</t>
  </si>
  <si>
    <t>D 33.5 x 3.0</t>
  </si>
  <si>
    <t>D 33.8 x 3.2</t>
  </si>
  <si>
    <t>D 33.8 x 3.6</t>
  </si>
  <si>
    <t>D 33.8 x 4.0</t>
  </si>
  <si>
    <t>D 42.2 x 1.6</t>
  </si>
  <si>
    <t>D 42.2 x 1.8</t>
  </si>
  <si>
    <t>D 42.2 x 2.0</t>
  </si>
  <si>
    <t>D 42.2 x 2.1</t>
  </si>
  <si>
    <t>D 42.2 x 2.3</t>
  </si>
  <si>
    <t>D 42.2 x 2.6</t>
  </si>
  <si>
    <t>D 42.2 x 3.56</t>
  </si>
  <si>
    <t>D 42.5 x 3.0</t>
  </si>
  <si>
    <t>D 42.5 x 3.2</t>
  </si>
  <si>
    <t>D 42.5 x 4.0</t>
  </si>
  <si>
    <t>D 48.1 x 1.6</t>
  </si>
  <si>
    <t>D 48.1 x 1.9</t>
  </si>
  <si>
    <t>D 48.1 x 2.0</t>
  </si>
  <si>
    <t>D 48.1 x 2.1</t>
  </si>
  <si>
    <t>D 48.1 x 2.3</t>
  </si>
  <si>
    <t>D 48.1 x 2.5</t>
  </si>
  <si>
    <t>D 48.1 x 3.0</t>
  </si>
  <si>
    <t>D 48.3 x 3.68</t>
  </si>
  <si>
    <t>D 48.4 x 3.2</t>
  </si>
  <si>
    <t>D 48.4 x 3.6</t>
  </si>
  <si>
    <t>D 48.4 x 4.0</t>
  </si>
  <si>
    <t>D 59.9 x 1.8</t>
  </si>
  <si>
    <t>D 59.9 x 1.9</t>
  </si>
  <si>
    <t>D 59.9 x 2.0</t>
  </si>
  <si>
    <t>D 59.9 x 2.1</t>
  </si>
  <si>
    <t>D 59.9 x 2.3</t>
  </si>
  <si>
    <t>D 59.9 x 2.5</t>
  </si>
  <si>
    <t>D 59.9 x 2.6</t>
  </si>
  <si>
    <t>D 59.9 x 3.0</t>
  </si>
  <si>
    <t>D 59.9 x 3.2</t>
  </si>
  <si>
    <t>D 60.3 x 3.6</t>
  </si>
  <si>
    <t>D 60.3 x 3.91</t>
  </si>
  <si>
    <t>D 60.3 x 4.0</t>
  </si>
  <si>
    <t>D 60.3 x 4.5</t>
  </si>
  <si>
    <t>D 60.3 x 5.0</t>
  </si>
  <si>
    <t>D 73.0 x 5.16</t>
  </si>
  <si>
    <t>D 75.6 x 1.9</t>
  </si>
  <si>
    <t>D 75.6 x 2.3</t>
  </si>
  <si>
    <t>D 75.6 x 2.6</t>
  </si>
  <si>
    <t>D 75.6 x 2.9</t>
  </si>
  <si>
    <t>D 75.6 x 3.2</t>
  </si>
  <si>
    <t>D 76.0 x 3.6</t>
  </si>
  <si>
    <t>D 76.0 x 4.0</t>
  </si>
  <si>
    <t>D 76.0 x 5.0</t>
  </si>
  <si>
    <t>D 88.3 x 2.1</t>
  </si>
  <si>
    <t>D 88.3 x 2.3</t>
  </si>
  <si>
    <t>D 88.3 x 2.6</t>
  </si>
  <si>
    <t>D 88.3 x 2.9</t>
  </si>
  <si>
    <t>D 88.3 x 3.2</t>
  </si>
  <si>
    <t>D 88.3 x 3.6</t>
  </si>
  <si>
    <t>D 88.8 x 4.0</t>
  </si>
  <si>
    <t>D 88.8 x 5.0</t>
  </si>
  <si>
    <t>D 88.9 x 5.49</t>
  </si>
  <si>
    <t>D 101.6 x 3.2</t>
  </si>
  <si>
    <t>D 101.6 x 3.7</t>
  </si>
  <si>
    <t>D 101.6 x 4.7</t>
  </si>
  <si>
    <t>D 101.6 x 5.7</t>
  </si>
  <si>
    <t>D 101.6 x 5.74</t>
  </si>
  <si>
    <t>D 113.5 x 2.0</t>
  </si>
  <si>
    <t>D 113.5 x 2.6</t>
  </si>
  <si>
    <t>D 113.5 x 2.9</t>
  </si>
  <si>
    <t>D 113.5 x 3.2</t>
  </si>
  <si>
    <t>D 113.5 x 3.6</t>
  </si>
  <si>
    <t>D 113.5 x 4.0</t>
  </si>
  <si>
    <t>D 114.1 x 4.5</t>
  </si>
  <si>
    <t>D 114.1 x 5.0</t>
  </si>
  <si>
    <t>D 114.1 x 5.4</t>
  </si>
  <si>
    <t>D 114.3 x 6.02</t>
  </si>
  <si>
    <t>D 139.7 x 5.0</t>
  </si>
  <si>
    <t>D 139.7 x 5.4</t>
  </si>
  <si>
    <t>D 141.3 x 3.96</t>
  </si>
  <si>
    <t>D 141.3 x 4.78</t>
  </si>
  <si>
    <t>D 141.3 x 5.16</t>
  </si>
  <si>
    <t>D 141.3 x 6.55</t>
  </si>
  <si>
    <t>D 141.3 x 7.11</t>
  </si>
  <si>
    <t>D 165.1 x 5.0</t>
  </si>
  <si>
    <t>D 165.1 x 5.4</t>
  </si>
  <si>
    <t>D 168.3 x 3.96</t>
  </si>
  <si>
    <t>D 168.3 x 4.78</t>
  </si>
  <si>
    <t>D 168.3 x 5.16</t>
  </si>
  <si>
    <t>D 168.3 x 5.56</t>
  </si>
  <si>
    <t>D 168.3 x 6.35</t>
  </si>
  <si>
    <t>D 168.3 x 7.11</t>
  </si>
  <si>
    <t>D 219.1 x 3.96</t>
  </si>
  <si>
    <t>D 219.1 x 4.78</t>
  </si>
  <si>
    <t>D 219.1 x 5.16</t>
  </si>
  <si>
    <t>D 219.1 x 5.56</t>
  </si>
  <si>
    <t>D 219.1 x 6.35</t>
  </si>
  <si>
    <t>D 219.1 x 7.11</t>
  </si>
  <si>
    <t>D 219.1 x 8.18</t>
  </si>
  <si>
    <t>SHS 20 x 20 x 0.7</t>
  </si>
  <si>
    <t>SHS 20 x 20 x 0.8</t>
  </si>
  <si>
    <t>SHS 20 x 20 x 0.9</t>
  </si>
  <si>
    <t>SHS 20 x 20 x 1</t>
  </si>
  <si>
    <t>SHS 20 x 20 x 1.1</t>
  </si>
  <si>
    <t>SHS 20 x 20 x 1.2</t>
  </si>
  <si>
    <t>SHS 20 x 20 x 1.4</t>
  </si>
  <si>
    <t>SHS 20 x 20 x 1.5</t>
  </si>
  <si>
    <t>SHS 20 x 20 x 1.8</t>
  </si>
  <si>
    <t>SHS 20 x 20 x 2</t>
  </si>
  <si>
    <t>SHS 25 x 25 x 0.7</t>
  </si>
  <si>
    <t>SHS 25 x 25 x 0.8</t>
  </si>
  <si>
    <t>SHS 25 x 25 x 0.9</t>
  </si>
  <si>
    <t>SHS 25 x 25 x 1</t>
  </si>
  <si>
    <t>SHS 25 x 25 x 1.1</t>
  </si>
  <si>
    <t>SHS 25 x 25 x 1.2</t>
  </si>
  <si>
    <t>SHS 25 x 25 x 1.4</t>
  </si>
  <si>
    <t>SHS 25 x 25 x 1.5</t>
  </si>
  <si>
    <t>SHS 25 x 25 x 1.8</t>
  </si>
  <si>
    <t>SHS 25 x 25 x 2</t>
  </si>
  <si>
    <t>SHS 30 x 30 x 0.7</t>
  </si>
  <si>
    <t>SHS 30 x 30 x 0.8</t>
  </si>
  <si>
    <t>SHS 30 x 30 x 0.9</t>
  </si>
  <si>
    <t>SHS 30 x 30 x 1</t>
  </si>
  <si>
    <t>SHS 30 x 30 x 1.1</t>
  </si>
  <si>
    <t>SHS 30 x 30 x 1.2</t>
  </si>
  <si>
    <t>SHS 30 x 30 x 1.4</t>
  </si>
  <si>
    <t>SHS 30 x 30 x 1.5</t>
  </si>
  <si>
    <t>SHS 30 x 30 x 1.8</t>
  </si>
  <si>
    <t>SHS 30 x 30 x 2</t>
  </si>
  <si>
    <t>SHS 30 x 30 x 2.3</t>
  </si>
  <si>
    <t>SHS 30 x 30 x 2.5</t>
  </si>
  <si>
    <t>SHS 40 x 40 x 0.7</t>
  </si>
  <si>
    <t>SHS 40 x 40 x 0.8</t>
  </si>
  <si>
    <t>SHS 40 x 40 x 0.9</t>
  </si>
  <si>
    <t>SHS 40 x 40 x 1</t>
  </si>
  <si>
    <t>SHS 40 x 40 x 1.1</t>
  </si>
  <si>
    <t>SHS 40 x 40 x 1.2</t>
  </si>
  <si>
    <t>SHS 40 x 40 x 1.4</t>
  </si>
  <si>
    <t>SHS 40 x 40 x 1.5</t>
  </si>
  <si>
    <t>SHS 40 x 40 x 1.8</t>
  </si>
  <si>
    <t>SHS 40 x 40 x 2</t>
  </si>
  <si>
    <t>SHS 40 x 40 x 2.3</t>
  </si>
  <si>
    <t>SHS 40 x 40 x 2.5</t>
  </si>
  <si>
    <t>SHS 40 x 40 x 2.8</t>
  </si>
  <si>
    <t>SHS 40 x 40 x 3</t>
  </si>
  <si>
    <t>SHS 50 x 50 x 1</t>
  </si>
  <si>
    <t>SHS 50 x 50 x 1.1</t>
  </si>
  <si>
    <t>SHS 50 x 50 x 1.2</t>
  </si>
  <si>
    <t>SHS 50 x 50 x 1.4</t>
  </si>
  <si>
    <t>SHS 50 x 50 x 1.5</t>
  </si>
  <si>
    <t>SHS 50 x 50 x 1.8</t>
  </si>
  <si>
    <t>SHS 50 x 50 x 2</t>
  </si>
  <si>
    <t>SHS 50 x 50 x 2.3</t>
  </si>
  <si>
    <t>SHS 50 x 50 x 2.5</t>
  </si>
  <si>
    <t>SHS 50 x 50 x 2.8</t>
  </si>
  <si>
    <t>SHS 50 x 50 x 3</t>
  </si>
  <si>
    <t>SHS 50 x 50 x 3.2</t>
  </si>
  <si>
    <t>SHS 50 x 50 x 3.5</t>
  </si>
  <si>
    <t>SHS 60 x 60 x 1.1</t>
  </si>
  <si>
    <t>SHS 60 x 60 x 1.2</t>
  </si>
  <si>
    <t>SHS 60 x 60 x 1.4</t>
  </si>
  <si>
    <t>SHS 60 x 60 x 1.5</t>
  </si>
  <si>
    <t>SHS 60 x 60 x 1.8</t>
  </si>
  <si>
    <t>SHS 60 x 60 x 2</t>
  </si>
  <si>
    <t>SHS 60 x 60 x 2.3</t>
  </si>
  <si>
    <t>SHS 60 x 60 x 2.5</t>
  </si>
  <si>
    <t>SHS 60 x 60 x 2.8</t>
  </si>
  <si>
    <t>SHS 60 x 60 x 3</t>
  </si>
  <si>
    <t>SHS 60 x 60 x 3.2</t>
  </si>
  <si>
    <t>SHS 60 x 60 x 3.5</t>
  </si>
  <si>
    <t>SHS 90 x 90 x 1.5</t>
  </si>
  <si>
    <t>SHS 90 x 90 x 1.8</t>
  </si>
  <si>
    <t>SHS 90 x 90 x 2</t>
  </si>
  <si>
    <t>SHS 90 x 90 x 2.3</t>
  </si>
  <si>
    <t>SHS 90 x 90 x 2.5</t>
  </si>
  <si>
    <t>SHS 90 x 90 x 2.8</t>
  </si>
  <si>
    <t>SHS 90 x 90 x 3</t>
  </si>
  <si>
    <t>SHS 90 x 90 x 3.2</t>
  </si>
  <si>
    <t>SHS 90 x 90 x 3.5</t>
  </si>
  <si>
    <t>SHS 90 x 90 x 3.8</t>
  </si>
  <si>
    <t>SHS 90 x 90 x 4</t>
  </si>
  <si>
    <t>RHS 13 x 26 x 0.7</t>
  </si>
  <si>
    <t>RHS 13 x 26 x 0.8</t>
  </si>
  <si>
    <t>RHS 13 x 26 x 0.9</t>
  </si>
  <si>
    <t>RHS 13 x 26 x 1</t>
  </si>
  <si>
    <t>RHS 13 x 26 x 1.1</t>
  </si>
  <si>
    <t>RHS 13 x 26 x 1.2</t>
  </si>
  <si>
    <t>RHS 13 x 26 x 1.4</t>
  </si>
  <si>
    <t>RHS 13 x 26 x 1.5</t>
  </si>
  <si>
    <t>RHS 20 x 40 x 0.7</t>
  </si>
  <si>
    <t>RHS 20 x 40 x 0.8</t>
  </si>
  <si>
    <t>RHS 20 x 40 x 0.9</t>
  </si>
  <si>
    <t>RHS 20 x 40 x 1</t>
  </si>
  <si>
    <t>RHS 20 x 40 x 1.1</t>
  </si>
  <si>
    <t>RHS 20 x 40 x 1.2</t>
  </si>
  <si>
    <t>RHS 20 x 40 x 1.4</t>
  </si>
  <si>
    <t>RHS 20 x 40 x 1.5</t>
  </si>
  <si>
    <t>RHS 20 x 40 x 1.8</t>
  </si>
  <si>
    <t>RHS 20 x 40 x 2</t>
  </si>
  <si>
    <t>RHS 20 x 40 x 2.3</t>
  </si>
  <si>
    <t>RHS 20 x 40 x 2.5</t>
  </si>
  <si>
    <t>RHS 30 x 60 x 0.9</t>
  </si>
  <si>
    <t>RHS 30 x 60 x 1</t>
  </si>
  <si>
    <t>RHS 30 x 60 x 1.1</t>
  </si>
  <si>
    <t>RHS 30 x 60 x 1.2</t>
  </si>
  <si>
    <t>RHS 30 x 60 x 1.4</t>
  </si>
  <si>
    <t>RHS 30 x 60 x 1.5</t>
  </si>
  <si>
    <t>RHS 30 x 60 x 1.8</t>
  </si>
  <si>
    <t>RHS 30 x 60 x 2</t>
  </si>
  <si>
    <t>RHS 30 x 60 x 2.3</t>
  </si>
  <si>
    <t>RHS 30 x 60 x 2.5</t>
  </si>
  <si>
    <t>RHS 30 x 60 x 2.8</t>
  </si>
  <si>
    <t>RHS 30 x 60 x 3</t>
  </si>
  <si>
    <t>RHS 40 x 80 x 1.1</t>
  </si>
  <si>
    <t>RHS 40 x 80 x 1.2</t>
  </si>
  <si>
    <t>RHS 40 x 80 x 1.4</t>
  </si>
  <si>
    <t>RHS 40 x 80 x 1.5</t>
  </si>
  <si>
    <t>RHS 40 x 80 x 1.8</t>
  </si>
  <si>
    <t>RHS 40 x 80 x 2</t>
  </si>
  <si>
    <t>RHS 40 x 80 x 2.3</t>
  </si>
  <si>
    <t>RHS 40 x 80 x 2.5</t>
  </si>
  <si>
    <t>RHS 40 x 80 x 2.8</t>
  </si>
  <si>
    <t>RHS 40 x 80 x 3</t>
  </si>
  <si>
    <t>RHS 40 x 80 x 3.2</t>
  </si>
  <si>
    <t>RHS 40 x 80 x 3.5</t>
  </si>
  <si>
    <t>RHS 50 x 100 x 1.4</t>
  </si>
  <si>
    <t>RHS 50 x 100 x 1.5</t>
  </si>
  <si>
    <t>RHS 50 x 100 x 1.8</t>
  </si>
  <si>
    <t>RHS 50 x 100 x 2</t>
  </si>
  <si>
    <t>RHS 50 x 100 x 2.3</t>
  </si>
  <si>
    <t>RHS 50 x 100 x 2.5</t>
  </si>
  <si>
    <t>RHS 50 x 100 x 2.8</t>
  </si>
  <si>
    <t>RHS 50 x 100 x 3</t>
  </si>
  <si>
    <t>RHS 50 x 100 x 3.2</t>
  </si>
  <si>
    <t>RHS 50 x 100 x 3.5</t>
  </si>
  <si>
    <t>RHS 50 x 100 x 3.8</t>
  </si>
  <si>
    <t>RHS 50 x 100 x 4</t>
  </si>
  <si>
    <t>RHS 60 x 120 x 1.5</t>
  </si>
  <si>
    <t>RHS 60 x 120 x 1.8</t>
  </si>
  <si>
    <t>RHS 60 x 120 x 2</t>
  </si>
  <si>
    <t>RHS 60 x 120 x 2.3</t>
  </si>
  <si>
    <t>RHS 60 x 120 x 2.5</t>
  </si>
  <si>
    <t>RHS 60 x 120 x 2.8</t>
  </si>
  <si>
    <t>RHS 60 x 120 x 3</t>
  </si>
  <si>
    <t>RHS 60 x 120 x 3.2</t>
  </si>
  <si>
    <t>RHS 60 x 120 x 3.5</t>
  </si>
  <si>
    <t>RHS 60 x 120 x 3.8</t>
  </si>
  <si>
    <t>RHS 60 x 120 x 4</t>
  </si>
  <si>
    <t>SHS 100 x 100 x 2.0</t>
  </si>
  <si>
    <t>SHS 100 x 100 x 2.5</t>
  </si>
  <si>
    <t>SHS 100 x 100 x 2.8</t>
  </si>
  <si>
    <t>SHS 100 x 100 x 3.0</t>
  </si>
  <si>
    <t>SHS 100 x 100 x 3.2</t>
  </si>
  <si>
    <t>SHS 100 x 100 x 3.5</t>
  </si>
  <si>
    <t>SHS 100 x 100 x 3.8</t>
  </si>
  <si>
    <t>SHS 100 x 100 x 4.0</t>
  </si>
  <si>
    <t>SHS 100 x 100 x 4.5</t>
  </si>
  <si>
    <t>RHS 100 x 150 x 2.0</t>
  </si>
  <si>
    <t>RHS 100 x 150 x 2.5</t>
  </si>
  <si>
    <t>RHS 100 x 150 x 2.8</t>
  </si>
  <si>
    <t>RHS 100 x 150 x 3.0</t>
  </si>
  <si>
    <t>RHS 100 x 150 x 3.2</t>
  </si>
  <si>
    <t>RHS 100 x 150 x 3.5</t>
  </si>
  <si>
    <t>RHS 100 x 150 x 3.8</t>
  </si>
  <si>
    <t>RHS 100 x 150 x 4.0</t>
  </si>
  <si>
    <t>RHS 100 x 150 x 4.5</t>
  </si>
  <si>
    <t>RHS 100 x 200 x 2.0</t>
  </si>
  <si>
    <t>RHS 100 x 200 x 2.5</t>
  </si>
  <si>
    <t>RHS 100 x 200 x 2.8</t>
  </si>
  <si>
    <t>RHS 100 x 200 x 3.0</t>
  </si>
  <si>
    <t>RHS 100 x 200 x 3.2</t>
  </si>
  <si>
    <t>RHS 100 x 200 x 3.5</t>
  </si>
  <si>
    <t>RHS 100 x 200 x 3.8</t>
  </si>
  <si>
    <t>RHS 100 x 200 x 4.0</t>
  </si>
  <si>
    <t>RHS 100 x 200 x 4.5</t>
  </si>
  <si>
    <t>SHS 200 x 200 x 4.0</t>
  </si>
  <si>
    <t>SHS 200 x 200 x 4.5</t>
  </si>
  <si>
    <t>SHS 200 x 200 x 5.0</t>
  </si>
  <si>
    <t>SHS 200 x 200 x 5.5</t>
  </si>
  <si>
    <t>SHS 200 x 200 x 6.0</t>
  </si>
  <si>
    <t>SHS 200 x 200 x 6.5</t>
  </si>
  <si>
    <t>SHS 200 x 200 x 7.0</t>
  </si>
  <si>
    <t>SHS 200 x 200 x 7.5</t>
  </si>
  <si>
    <t>SHS 200 x 200 x 8.0</t>
  </si>
  <si>
    <t>SHS 200 x 200 x 8.5</t>
  </si>
  <si>
    <t>SHS 200 x 200 x 9.0</t>
  </si>
  <si>
    <t>SHS 200 x 200 x 9.5</t>
  </si>
  <si>
    <t>SHS 200 x 200 x 10</t>
  </si>
  <si>
    <t>SHS 250 x 250 x 4.0</t>
  </si>
  <si>
    <t>SHS 250 x 250 x 4.5</t>
  </si>
  <si>
    <t>SHS 250 x 250 x 5.0</t>
  </si>
  <si>
    <t>SHS 250 x 250 x 5.5</t>
  </si>
  <si>
    <t>SHS 250 x 250 x 6.0</t>
  </si>
  <si>
    <t>SHS 250 x 250 x 6.5</t>
  </si>
  <si>
    <t>SHS 250 x 250 x 7.0</t>
  </si>
  <si>
    <t>SHS 250 x 250 x 7.5</t>
  </si>
  <si>
    <t>SHS 250 x 250 x 8.0</t>
  </si>
  <si>
    <t>SHS 250 x 250 x 8.5</t>
  </si>
  <si>
    <t>SHS 250 x 250 x 9.0</t>
  </si>
  <si>
    <t>SHS 250 x 250 x 9.5</t>
  </si>
  <si>
    <t>SHS 250 x 250 x 10</t>
  </si>
  <si>
    <t>I 100 x 55 x 3.6 x 4.4 x 6m</t>
  </si>
  <si>
    <t>I 120 x 64 x .3.8 x 4.8 x 6m</t>
  </si>
  <si>
    <t>I 150 x 75 x 5 x 7 x 6m/12m-M</t>
  </si>
  <si>
    <t>I 150 x 75 x 5 x 7 x 6m/12m- D</t>
  </si>
  <si>
    <t>I 198 x 99 x 4.5 x 7 x 6m/12m</t>
  </si>
  <si>
    <t>I 198 x 99 x 4.5 x 7 x 6m/12M</t>
  </si>
  <si>
    <t>I 200 x 100 x 5.5 x 8 x 6m/12m</t>
  </si>
  <si>
    <t>I 248 x 124 x 5 x 8 x 6m/12m</t>
  </si>
  <si>
    <t>I 250 x 125 x 6 x 9 x 6m/12m</t>
  </si>
  <si>
    <t>I 298 x 149 x 5.5 x 8 x 6m/12m</t>
  </si>
  <si>
    <t>I 300 x 150 x 6.5 x 9 x 6m/12m</t>
  </si>
  <si>
    <t>I 346 x 174 x 6 x 9 x 6m/12m</t>
  </si>
  <si>
    <t>I 350 x 175 x 7 x 11 x 6m/12m</t>
  </si>
  <si>
    <t>I 396 x 199 x 7 x 11 x 6m/12m</t>
  </si>
  <si>
    <t>I 400 x 200 x 8 x 13 x 6m/12m</t>
  </si>
  <si>
    <t>I 446 x 199 x 8 x 12 x 6m/12m</t>
  </si>
  <si>
    <t>I 450 x 200 x 9 x 14 x 6m/12m</t>
  </si>
  <si>
    <t>I 482 x 300 x 11 x 15 x 12m</t>
  </si>
  <si>
    <t>I 496 x 199 x 9 x 14 x 12m</t>
  </si>
  <si>
    <t>I 500 x 200 x 10 x 16 x 6m/12m</t>
  </si>
  <si>
    <t>I 582 x 300 x 12 x 17 x 12m</t>
  </si>
  <si>
    <t>I 588 x 300 x 12 x 20 x 12m</t>
  </si>
  <si>
    <t>I 596 x 199 x 10 x 15 x 6m/12m</t>
  </si>
  <si>
    <t>I 600 x 200 x 11 x 17 x 6m/12m</t>
  </si>
  <si>
    <t>I 692 x 300 x 13 x 20 x 12m</t>
  </si>
  <si>
    <t>I 700 x 300 x 13 x 24 x 6m/12m</t>
  </si>
  <si>
    <t>I 800 x 300 x 14 x 26 x 12m</t>
  </si>
  <si>
    <t>I 900 x 300 x 16 x 28 x 12m</t>
  </si>
  <si>
    <t>V 40 x 3ly x 6m_ 1.67 kg/m</t>
  </si>
  <si>
    <t>V 40 x 4ly x 6m_ 2.17 kg/m</t>
  </si>
  <si>
    <t>V 40 x 4ly x 6m_ 2.42 kg/m</t>
  </si>
  <si>
    <t>V 50 x 4ly x 6m_3.06 kg/m</t>
  </si>
  <si>
    <t>V 50 x 5ly x 6m_ 3,43 kg/m</t>
  </si>
  <si>
    <t>V 50 x 5ly x 6m_ 3.77 kg/m</t>
  </si>
  <si>
    <t>V 50 x 6ly x 6m_ 3.97 kg/m</t>
  </si>
  <si>
    <t>V 50 x 6ly x 6m_ 4,43 kg/m</t>
  </si>
  <si>
    <t>V 63 x 5ly x 6m_ 4.82 kg/m</t>
  </si>
  <si>
    <t>V 63 x 6ly x 6m_ 5,72 kg/m</t>
  </si>
  <si>
    <t>V 63 x 6ly x 6m_ 5,5 kg/m</t>
  </si>
  <si>
    <t>V 65 x 4ly x 6m_ 3.7 kg/m</t>
  </si>
  <si>
    <t>V 65 x 5ly x 6m_ 4.55 kg/m</t>
  </si>
  <si>
    <t>V 65 x 6ly x 6m_5,38 kg/m</t>
  </si>
  <si>
    <t>V 65 x 6ly x 6m_5,91 kg/m</t>
  </si>
  <si>
    <t>V 70 x 5ly x 6m_ 4.97 kg/m</t>
  </si>
  <si>
    <t>V 70 x 5ly x 6m_ 5,37 kg/m</t>
  </si>
  <si>
    <t>V 70 x 6ly x 6m_ 5,92 kg/m</t>
  </si>
  <si>
    <t>V 70 x 6ly x 6m_ 5,81 kg/m</t>
  </si>
  <si>
    <t>V 70 x 6ly x 6m_ 6,38 kg/m</t>
  </si>
  <si>
    <t>V 70 x 6ly x 12m_ 6,38 kg/m</t>
  </si>
  <si>
    <t>V 70 x 7ly x 6m_ 6,8 kg/m</t>
  </si>
  <si>
    <t>V 70 x 7ly x 6m_ 7,38 kg/m</t>
  </si>
  <si>
    <t>V 70 x 7ly x 12m_ 7,38 kg/m</t>
  </si>
  <si>
    <t>V 75 x 9ly x 12m_10,03kg/m</t>
  </si>
  <si>
    <t>V 80 x 6ly x 6m_ 7,32 kg/m</t>
  </si>
  <si>
    <t>V 80 x 6ly x 12m_ 7,32 kg/m</t>
  </si>
  <si>
    <t>V 80 x 6ly x 6m_ 7,37 kg/m</t>
  </si>
  <si>
    <t>V 80 x 6ly x 12m_ 7,37 kg/m</t>
  </si>
  <si>
    <t>V 80 x 7ly x 6m_ 8,49 kg/m</t>
  </si>
  <si>
    <t>V 80 x 7ly x 12m_ 8,49 kg/m</t>
  </si>
  <si>
    <t>V 80 x 8ly x 6m_ 8,75 kg/m</t>
  </si>
  <si>
    <t>V 80 x 8ly x 12m_ 8,75 kg/m</t>
  </si>
  <si>
    <t>V 80 x 8ly x 6m_ 9,66 kg/m</t>
  </si>
  <si>
    <t>V 80 x 8ly x 12m_ 9,66 kg/m</t>
  </si>
  <si>
    <t>V 90 x 6ly x 6m_ 8,25 kg/m</t>
  </si>
  <si>
    <t>V 90 x 6ly x 12m_ 8,25 kg/m</t>
  </si>
  <si>
    <t>V 90 x 7ly x 6m_ 9,59 kg/m</t>
  </si>
  <si>
    <t>V 90 x 7ly x 12m_ 9,59 kg/m</t>
  </si>
  <si>
    <t>V 90 x 8ly x 6m_ 10,94 kg/m</t>
  </si>
  <si>
    <t>V 90 x 8ly x 12m_ 10,94 kg/m</t>
  </si>
  <si>
    <t>V 90 x 9ly x 6m_ 12,24 kg/m</t>
  </si>
  <si>
    <t>V 90 x 9ly x 12m_ 12,24 kg/m</t>
  </si>
  <si>
    <t>V 90 x 10ly x 6m_ 13,52 kg/m</t>
  </si>
  <si>
    <t>V 90 x 10ly x 12m_ 13,52 kg/m</t>
  </si>
  <si>
    <t>V 100 x 7ly x 6m _ 10,83 kg/m</t>
  </si>
  <si>
    <t>V 100 x 7ly x 12m _ 10,83 kg/m</t>
  </si>
  <si>
    <t>V 100 x 8ly x 6m _ 11,49 kg/m</t>
  </si>
  <si>
    <t>V 100 x 8ly x 12m _ 11,49 kg/m</t>
  </si>
  <si>
    <t>V 100 x 8ly x 6m _ 12.28 kg/m</t>
  </si>
  <si>
    <t>V 100 x 8ly x 12m _ 12.28 kg/m</t>
  </si>
  <si>
    <t>V 100 x 8ly x 6m _ 12.21 kg/m</t>
  </si>
  <si>
    <t>V 100 x 8ly x 12m _ 12.21 kg/m</t>
  </si>
  <si>
    <t>V 100 x 8ly x 6m _ 12.1 kg/m</t>
  </si>
  <si>
    <t>V 100 x 8ly x 12m _ 12.1 kg/m</t>
  </si>
  <si>
    <t>V 100 x 9ly x 6m _ 13.5 kg/m</t>
  </si>
  <si>
    <t>V 100 x 9ly x 12m _ 13.5 kg/m</t>
  </si>
  <si>
    <t>V 100 x 10ly x 6m _ 15,2 kg/m</t>
  </si>
  <si>
    <t>V 100 x 10ly x 12m _ 15,2 kg/m</t>
  </si>
  <si>
    <t>V 100 x 10ly x 6m _ 15,12 kg/m</t>
  </si>
  <si>
    <t>V 100 x 10ly x 12m _ 15,12 kg/m</t>
  </si>
  <si>
    <t>V 110 x 7ly x 6m _ 11.93 kg/m</t>
  </si>
  <si>
    <t>V 110 x 7ly x 12m _ 11.93 kg/m</t>
  </si>
  <si>
    <t>V 120 x 8ly x 6m_ 14,7 kg/m</t>
  </si>
  <si>
    <t>V 120 x 8ly x 12m_ 14,7 kg/m</t>
  </si>
  <si>
    <t>V 120 x 10ly x 6m_ 18,2 kg/m</t>
  </si>
  <si>
    <t>V 120 x 10ly x 12m_ 18,2 kg/m</t>
  </si>
  <si>
    <t>V 120 x 12ly x 6m_ 21,66 kg/m</t>
  </si>
  <si>
    <t>V 120 x 12ly x 12m_ 21,66 kg/m</t>
  </si>
  <si>
    <t>V 125 x 10ly x 6m_ 19,13 kg/m</t>
  </si>
  <si>
    <t>V 125 x 10ly x 12m_ 19,13 kg/m</t>
  </si>
  <si>
    <t>V 125 x 12ly x 6m_ 22,7 kg/m</t>
  </si>
  <si>
    <t>V 125 x 12ly x 12m_ 22,7 kg/m</t>
  </si>
  <si>
    <t>V 130 x 10ly x 6m_ 19,8 kg/m</t>
  </si>
  <si>
    <t>V 130 x 10ly x 12m_ 19,8 kg/m</t>
  </si>
  <si>
    <t>V 130 x 12ly x 6m_ 23,4 kg/m</t>
  </si>
  <si>
    <t>V 130 x 12ly x 12m_ 23,4 kg/m</t>
  </si>
  <si>
    <t>V 130 x 15ly x 6m_ 28,8 kg/m</t>
  </si>
  <si>
    <t>V 130 x 15ly x 12m_ 28,8 kg/m</t>
  </si>
  <si>
    <t>V 150 x 12ly x 12m</t>
  </si>
  <si>
    <t>V 150 x 12ly x 6m _ 27,3 kg/m</t>
  </si>
  <si>
    <t>V 150 x 12ly x 12m _ 27,3 kg/m</t>
  </si>
  <si>
    <t>V 150 x 10ly x 6m _ 22,9 kg/m</t>
  </si>
  <si>
    <t>V 150 x 10ly x 12m _ 22,9 kg/m</t>
  </si>
  <si>
    <t>V 150 x 15ly x 6m _ 33,6 kg/m</t>
  </si>
  <si>
    <t>V 150 x 15ly x 12m _ 33,6 kg/m</t>
  </si>
  <si>
    <t>V 175 x 12ly x 6m_ 31,8 kg/m</t>
  </si>
  <si>
    <t>V 175 x 12ly x 12m_ 31,8 kg/m</t>
  </si>
  <si>
    <t>V 175 x 15ly x 6m_ 39,4 kg/m</t>
  </si>
  <si>
    <t>V 175 x 15ly x 12m_ 39,4 kg/m</t>
  </si>
  <si>
    <t>V 200 x 15 x 6m_ 45,6 kg/m</t>
  </si>
  <si>
    <t>V 200 x 15 x 12m_ 45,6 kg/m</t>
  </si>
  <si>
    <t>V 200 x 20 x 6m_ 60,06 kg/m</t>
  </si>
  <si>
    <t>V 200 x 20 x 12m_ 60,06 kg/m</t>
  </si>
  <si>
    <t>U50 x 24 x 2.5 x 6m_2.33 kg/m</t>
  </si>
  <si>
    <t>U 65 x 30 x 3 x 6M _2,83 kg/m</t>
  </si>
  <si>
    <t>U 75 x 40 x 3.8 x 6M _5.3 kg/m</t>
  </si>
  <si>
    <t>U 80 x 38 x 3 x 6M _ 3.58 kg/m</t>
  </si>
  <si>
    <t>U 80 x 43 x 6 x 6M _ 6 kg/m</t>
  </si>
  <si>
    <t>U 80 x 40 x 4.2 x 6M _ 5.08 kg/m</t>
  </si>
  <si>
    <t>U 80 x 45 x 6 x 6M _ 7 kg/m</t>
  </si>
  <si>
    <t>U 100 x 42.5 x 3.3 x 6M_ 5.16 kg/m</t>
  </si>
  <si>
    <t>U 100 x 42.5 x 3.3 x 6M_ 5.17 kg/m</t>
  </si>
  <si>
    <t>U 100 x 45 x 3.8 x 6M_ 7,5 kg/m</t>
  </si>
  <si>
    <t>U 100 x 45 x 3.8 x 12M_ 7,5 kg/m</t>
  </si>
  <si>
    <t>U 100 x 46 x 4,5 x 6M_ 7,5 kg/m</t>
  </si>
  <si>
    <t>U 100 x 45 x 3.8 x 6M_ 7,17 kg/m</t>
  </si>
  <si>
    <t>U 100 x 50 x 5 x 6M_ 9,36 kg/m</t>
  </si>
  <si>
    <t>U 100 x 50 x 5 x 12M_ 9,36 kg/m</t>
  </si>
  <si>
    <t>U 100 x 50 x 5 x 6M_ 9,4 kg/m</t>
  </si>
  <si>
    <t>U 100 x 50 x 5 x 12M_ 9,4 kg/m</t>
  </si>
  <si>
    <t>U 100 x 50 x 3,8 x 6M_ 7,3 kg/m</t>
  </si>
  <si>
    <t>U 100 x 45 x 5 x 12M_ 8 kg/m</t>
  </si>
  <si>
    <t>U 100 x 45 x 5 x 6M_ 8 kg/m</t>
  </si>
  <si>
    <t>U 120 x 41 x 4.7 x 6M_ 6,83 kg/m</t>
  </si>
  <si>
    <t>U 120 x 50 x 4 x 6M_ 6,92 kg/m</t>
  </si>
  <si>
    <t>U 120 x 50 x 5 x 6M_ 9,3 kg/m</t>
  </si>
  <si>
    <t>U 120 x 50 x 5 x 12M_ 9,3 kg/m</t>
  </si>
  <si>
    <t>U 120 x 50 x 6 x 6M_ 8,8 kg/m</t>
  </si>
  <si>
    <t>U 120 x 52 x 5.4 x 6M_ 8,5 kg/m</t>
  </si>
  <si>
    <t>U 120 x 53 x 5,5 x 6M_ 10 kg/m</t>
  </si>
  <si>
    <t>U 120 x 53 x 5,5 x 12M_ 10 kg/m</t>
  </si>
  <si>
    <t>U 125 x 65 x 6 x 6M_ 13.4 kg/m</t>
  </si>
  <si>
    <t>U 125 x 65 x 6 x 12M_ 13.4 kg/m</t>
  </si>
  <si>
    <t>U 140 x 52 x 4,5 x 6M_ 9 kg/m</t>
  </si>
  <si>
    <t>U 140 x 58 x 6 x 6M_ 12 kg/m</t>
  </si>
  <si>
    <t>U 140 x 52 x 4,5 x 12M_ 9 kg/m</t>
  </si>
  <si>
    <t>U 140 x 58 x 6 x 6M_ 12.43 kg/m</t>
  </si>
  <si>
    <t>U 140 x 58 x 6 x 12M_ 12.43 kg/m</t>
  </si>
  <si>
    <t>U 150 x 75 x 6,5 x 6M_ 18,6 kg/m</t>
  </si>
  <si>
    <t>U 150 x 75 x 6,5 x 12M_ 18,6 kg/m</t>
  </si>
  <si>
    <t>U 160 x 56 x 5.2 x 6M_ 12.5 kg/m</t>
  </si>
  <si>
    <t>U 160 x 56 x 5.2 x 12M_ 12.5 kg/m</t>
  </si>
  <si>
    <t>U 160 x 58 x 5.5 x 6M_ 14.2 kg/m</t>
  </si>
  <si>
    <t>U 160 x 58 x 5.5 x 6M_13.8 kg/m</t>
  </si>
  <si>
    <t>U 160 x 58 x 5.5 x 12M_ 13.8 kg/m</t>
  </si>
  <si>
    <t>U 180 x 64 x 6 x 6M_ 15 kg/m</t>
  </si>
  <si>
    <t>U 180 x 64 x 6 x 12M_ 15 kg/m</t>
  </si>
  <si>
    <t>U 180 x 68 x 7 x 6M_ 17.5 kg/m</t>
  </si>
  <si>
    <t>U 180 x 68 x 7 x 12M_ 17.5 kg/m</t>
  </si>
  <si>
    <t>U 200 x 69 x 5,4 x 6M_ 17 kg/m</t>
  </si>
  <si>
    <t>U 200 x 69 x 5,4 x 12M_ 17 kg/m</t>
  </si>
  <si>
    <t>U 200 x 73 x 5,4 x 6M_ 18,4 kg/m</t>
  </si>
  <si>
    <t>U 200 x 75 x 8,5 x 6M_ 23,5 kg/m</t>
  </si>
  <si>
    <t>U 200 x 75 x 8,5 x 12M_ 23,5 kg/m</t>
  </si>
  <si>
    <t>U 200 x 75 x 9 x 6M_ 24,6 kg/m TQ</t>
  </si>
  <si>
    <t>U 200 x 75 x 9 x 12M_ 24,6 kg/m TQ</t>
  </si>
  <si>
    <t>U 200 x 80 x 7.5 x 11 x 12M_ 24,6 kg/m</t>
  </si>
  <si>
    <t>U 200 x 80 x 7.5 x 11 x 6M_ 24,6 kg/m</t>
  </si>
  <si>
    <t>U 200 x 90 x 8 x 12m_30,3kg/m</t>
  </si>
  <si>
    <t>U 250 x 78 x 6 x 6M_ 22,8 kg/m</t>
  </si>
  <si>
    <t>U 250 x 78 x 6 x 12M_ 22,8 kg/m</t>
  </si>
  <si>
    <t>U 250 x 78 x 7 x 6M_ 23,5 kg/m</t>
  </si>
  <si>
    <t>U 250 x 78 x 7 x 12M_ 23,5 kg/m</t>
  </si>
  <si>
    <t>U 250 x 78 x 8 x 6M_ 24,6 kg/m</t>
  </si>
  <si>
    <t>U 250 x 78 x 8 x 12M_ 24,6 kg/m</t>
  </si>
  <si>
    <t>U 250 x 90 x 9 x 13 x 6M_ 34,6 kg/m</t>
  </si>
  <si>
    <t>U 250 x 90 x 9 x 13 x 12M_ 34,6 kg/m</t>
  </si>
  <si>
    <t>U 280 x 82 x 7,5 x 6M_31,4 kg/m</t>
  </si>
  <si>
    <t>U 280 x 82 x 7,5 x 12M_31,4 kg/m</t>
  </si>
  <si>
    <t>U 300 x 82 x 7 x 6M_31,02 kg/m</t>
  </si>
  <si>
    <t>U 300 x 82 x 7 x 12M_31,02 kg/m</t>
  </si>
  <si>
    <t>U 300 x 87 x 9,5 x 6M_39,17 kg/m</t>
  </si>
  <si>
    <t>U 300 x 87 x 9,5 x 12M_39,17 kg/m</t>
  </si>
  <si>
    <t>U 300 x 90 x 9 x 13 x 6M_38,10 kg/m TQ</t>
  </si>
  <si>
    <t>U 300 x 90 x 9 x 13 x 12M_38,10 kg/m TQ</t>
  </si>
  <si>
    <t>U 300 x 90 x 9 x 13 x 12M_38,10 kg/m HQ</t>
  </si>
  <si>
    <t>U 300 x 90 x 9 x 13 x 6M_38,10 kg/m HQ</t>
  </si>
  <si>
    <t>U 380 x 100 x 10,5 x 16 x 6M_54,5kg/m HQ</t>
  </si>
  <si>
    <t>U 380 x 100 x 10,5 x 16 x 12M_54,5kg/m HQ</t>
  </si>
  <si>
    <t>U 400 x 100 x 10,5 x 6M_58,93kg/m 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</si>
</sst>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vertAlign val="subscript"/>
      <sz val="11"/>
      <color theme="1"/>
      <name val="Arial"/>
      <family val="2"/>
      <scheme val="minor"/>
    </font>
    <font>
      <b/>
      <vertAlign val="superscript"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ck">
        <color auto="1"/>
      </bottom>
      <diagonal/>
    </border>
    <border>
      <left style="thin">
        <color rgb="FF000000"/>
      </left>
      <right/>
      <top style="hair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0" fontId="6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3" fontId="0" fillId="0" borderId="0" xfId="1" applyFont="1"/>
    <xf numFmtId="43" fontId="1" fillId="0" borderId="0" xfId="1" applyFont="1" applyFill="1" applyAlignment="1">
      <alignment vertical="center"/>
    </xf>
    <xf numFmtId="43" fontId="1" fillId="0" borderId="0" xfId="1" applyFont="1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Alignment="1"/>
    <xf numFmtId="0" fontId="7" fillId="3" borderId="0" xfId="0" applyFont="1" applyFill="1" applyAlignment="1">
      <alignment horizontal="center"/>
    </xf>
    <xf numFmtId="0" fontId="8" fillId="0" borderId="0" xfId="0" applyFont="1"/>
    <xf numFmtId="0" fontId="7" fillId="3" borderId="0" xfId="0" applyFont="1" applyFill="1" applyBorder="1" applyAlignment="1">
      <alignment horizontal="center"/>
    </xf>
    <xf numFmtId="43" fontId="9" fillId="0" borderId="0" xfId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>
      <alignment horizontal="center"/>
    </xf>
    <xf numFmtId="0" fontId="7" fillId="3" borderId="0" xfId="0" applyFont="1" applyFill="1" applyBorder="1" applyAlignment="1">
      <alignment horizontal="left"/>
    </xf>
    <xf numFmtId="0" fontId="9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left"/>
    </xf>
    <xf numFmtId="0" fontId="10" fillId="0" borderId="1" xfId="4" applyFont="1" applyBorder="1" applyAlignment="1">
      <alignment horizontal="left" vertical="center"/>
    </xf>
    <xf numFmtId="0" fontId="10" fillId="0" borderId="2" xfId="4" applyFont="1" applyBorder="1" applyAlignment="1">
      <alignment horizontal="right" vertical="center"/>
    </xf>
    <xf numFmtId="0" fontId="10" fillId="0" borderId="3" xfId="4" applyFont="1" applyBorder="1" applyAlignment="1">
      <alignment horizontal="left" vertical="center"/>
    </xf>
    <xf numFmtId="0" fontId="10" fillId="0" borderId="4" xfId="4" applyFont="1" applyBorder="1" applyAlignment="1">
      <alignment horizontal="right" vertical="center"/>
    </xf>
    <xf numFmtId="0" fontId="10" fillId="0" borderId="5" xfId="4" applyFont="1" applyBorder="1" applyAlignment="1">
      <alignment horizontal="left" vertical="top"/>
    </xf>
    <xf numFmtId="0" fontId="10" fillId="0" borderId="5" xfId="4" applyFont="1" applyBorder="1" applyAlignment="1">
      <alignment horizontal="right" vertical="top"/>
    </xf>
    <xf numFmtId="0" fontId="10" fillId="3" borderId="5" xfId="4" applyFont="1" applyFill="1" applyBorder="1" applyAlignment="1">
      <alignment horizontal="left" vertical="top"/>
    </xf>
    <xf numFmtId="0" fontId="10" fillId="3" borderId="5" xfId="4" applyFont="1" applyFill="1" applyBorder="1" applyAlignment="1">
      <alignment horizontal="right" vertical="top"/>
    </xf>
    <xf numFmtId="0" fontId="9" fillId="0" borderId="5" xfId="4" applyFont="1" applyBorder="1" applyAlignment="1">
      <alignment horizontal="left" vertical="top"/>
    </xf>
    <xf numFmtId="0" fontId="9" fillId="0" borderId="5" xfId="4" applyFont="1" applyBorder="1" applyAlignment="1">
      <alignment horizontal="right" vertical="top"/>
    </xf>
    <xf numFmtId="0" fontId="10" fillId="0" borderId="6" xfId="4" applyFont="1" applyBorder="1" applyAlignment="1">
      <alignment horizontal="left" vertical="top"/>
    </xf>
    <xf numFmtId="43" fontId="7" fillId="3" borderId="0" xfId="1" applyFont="1" applyFill="1" applyBorder="1" applyAlignment="1">
      <alignment horizontal="center"/>
    </xf>
    <xf numFmtId="43" fontId="8" fillId="0" borderId="0" xfId="1" applyFont="1"/>
    <xf numFmtId="0" fontId="8" fillId="0" borderId="0" xfId="0" applyFont="1" applyAlignment="1">
      <alignment horizontal="left" vertical="center" wrapText="1"/>
    </xf>
    <xf numFmtId="43" fontId="8" fillId="0" borderId="0" xfId="1" applyFont="1" applyAlignment="1">
      <alignment vertical="center" wrapText="1"/>
    </xf>
  </cellXfs>
  <cellStyles count="5">
    <cellStyle name="Comma" xfId="1" builtinId="3"/>
    <cellStyle name="Normal" xfId="0" builtinId="0"/>
    <cellStyle name="Normal 3" xfId="4" xr:uid="{F2D3A708-A244-4E87-960C-AA4796EB9CB5}"/>
    <cellStyle name="Normal 6" xfId="3" xr:uid="{FCBE8B45-F8D7-4AFE-A93A-F6312CD6B90E}"/>
    <cellStyle name="Normal 8" xfId="2" xr:uid="{D887B9E6-3BBA-45A9-990E-178B694EBB06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workbookViewId="0">
      <selection activeCell="A57" sqref="A57"/>
    </sheetView>
  </sheetViews>
  <sheetFormatPr defaultRowHeight="13.8" x14ac:dyDescent="0.25"/>
  <cols>
    <col min="1" max="1" width="40.796875" customWidth="1"/>
    <col min="2" max="3" width="11.898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5</v>
      </c>
    </row>
    <row r="4" spans="1:3" x14ac:dyDescent="0.25">
      <c r="A4" s="2" t="s">
        <v>4</v>
      </c>
      <c r="B4" s="2" t="s">
        <v>4</v>
      </c>
      <c r="C4" s="2" t="s">
        <v>5</v>
      </c>
    </row>
    <row r="5" spans="1:3" x14ac:dyDescent="0.25">
      <c r="A5" s="2" t="s">
        <v>5</v>
      </c>
      <c r="B5" s="2" t="s">
        <v>4</v>
      </c>
      <c r="C5" s="2" t="s">
        <v>5</v>
      </c>
    </row>
    <row r="6" spans="1:3" x14ac:dyDescent="0.25">
      <c r="A6" s="2" t="s">
        <v>7</v>
      </c>
      <c r="B6" s="2" t="s">
        <v>4</v>
      </c>
      <c r="C6" s="2" t="s">
        <v>5</v>
      </c>
    </row>
    <row r="7" spans="1:3" x14ac:dyDescent="0.25">
      <c r="A7" s="2" t="s">
        <v>8</v>
      </c>
      <c r="B7" s="2" t="s">
        <v>4</v>
      </c>
      <c r="C7" s="2" t="s">
        <v>5</v>
      </c>
    </row>
    <row r="8" spans="1:3" x14ac:dyDescent="0.25">
      <c r="A8" s="2" t="s">
        <v>9</v>
      </c>
      <c r="B8" s="2" t="s">
        <v>4</v>
      </c>
      <c r="C8" s="2" t="s">
        <v>5</v>
      </c>
    </row>
    <row r="9" spans="1:3" x14ac:dyDescent="0.25">
      <c r="A9" s="2" t="s">
        <v>10</v>
      </c>
      <c r="B9" s="2" t="s">
        <v>4</v>
      </c>
      <c r="C9" s="2" t="s">
        <v>5</v>
      </c>
    </row>
    <row r="10" spans="1:3" x14ac:dyDescent="0.25">
      <c r="A10" s="2" t="s">
        <v>11</v>
      </c>
      <c r="B10" s="2" t="s">
        <v>4</v>
      </c>
      <c r="C10" s="2" t="s">
        <v>5</v>
      </c>
    </row>
    <row r="11" spans="1:3" x14ac:dyDescent="0.25">
      <c r="A11" s="2" t="s">
        <v>12</v>
      </c>
      <c r="B11" s="2" t="s">
        <v>4</v>
      </c>
      <c r="C11" s="2" t="s">
        <v>5</v>
      </c>
    </row>
    <row r="12" spans="1:3" x14ac:dyDescent="0.25">
      <c r="A12" s="2" t="s">
        <v>13</v>
      </c>
      <c r="B12" s="2" t="s">
        <v>13</v>
      </c>
      <c r="C12" s="2" t="s">
        <v>14</v>
      </c>
    </row>
    <row r="13" spans="1:3" x14ac:dyDescent="0.25">
      <c r="A13" s="2" t="s">
        <v>15</v>
      </c>
      <c r="B13" s="2" t="s">
        <v>15</v>
      </c>
      <c r="C13" s="2" t="s">
        <v>14</v>
      </c>
    </row>
    <row r="14" spans="1:3" x14ac:dyDescent="0.25">
      <c r="A14" s="2" t="s">
        <v>16</v>
      </c>
      <c r="B14" s="2" t="s">
        <v>13</v>
      </c>
      <c r="C14" s="2" t="s">
        <v>14</v>
      </c>
    </row>
    <row r="15" spans="1:3" x14ac:dyDescent="0.25">
      <c r="A15" s="2" t="s">
        <v>17</v>
      </c>
      <c r="B15" s="2" t="s">
        <v>13</v>
      </c>
      <c r="C15" s="2" t="s">
        <v>14</v>
      </c>
    </row>
    <row r="16" spans="1:3" x14ac:dyDescent="0.25">
      <c r="A16" s="2" t="s">
        <v>18</v>
      </c>
      <c r="B16" s="2" t="s">
        <v>15</v>
      </c>
      <c r="C16" s="2" t="s">
        <v>14</v>
      </c>
    </row>
    <row r="17" spans="1:3" x14ac:dyDescent="0.25">
      <c r="A17" s="2" t="s">
        <v>19</v>
      </c>
      <c r="B17" s="2" t="s">
        <v>15</v>
      </c>
      <c r="C17" s="2" t="s">
        <v>14</v>
      </c>
    </row>
    <row r="18" spans="1:3" x14ac:dyDescent="0.25">
      <c r="A18" s="2" t="s">
        <v>20</v>
      </c>
      <c r="B18" s="2" t="s">
        <v>13</v>
      </c>
      <c r="C18" s="2" t="s">
        <v>14</v>
      </c>
    </row>
    <row r="19" spans="1:3" x14ac:dyDescent="0.25">
      <c r="A19" s="2" t="s">
        <v>14</v>
      </c>
      <c r="B19" s="2" t="s">
        <v>13</v>
      </c>
      <c r="C19" s="2" t="s">
        <v>14</v>
      </c>
    </row>
    <row r="20" spans="1:3" x14ac:dyDescent="0.25">
      <c r="A20" s="2" t="s">
        <v>21</v>
      </c>
      <c r="B20" s="2" t="s">
        <v>13</v>
      </c>
      <c r="C20" s="2" t="s">
        <v>14</v>
      </c>
    </row>
    <row r="21" spans="1:3" x14ac:dyDescent="0.25">
      <c r="A21" s="2" t="s">
        <v>22</v>
      </c>
      <c r="B21" s="2" t="s">
        <v>23</v>
      </c>
      <c r="C21" s="2" t="s">
        <v>23</v>
      </c>
    </row>
    <row r="22" spans="1:3" x14ac:dyDescent="0.25">
      <c r="A22" s="2" t="s">
        <v>24</v>
      </c>
      <c r="B22" s="2" t="s">
        <v>23</v>
      </c>
      <c r="C22" s="2" t="s">
        <v>23</v>
      </c>
    </row>
    <row r="23" spans="1:3" x14ac:dyDescent="0.25">
      <c r="A23" s="2" t="s">
        <v>25</v>
      </c>
      <c r="B23" s="2" t="s">
        <v>23</v>
      </c>
      <c r="C23" s="2" t="s">
        <v>23</v>
      </c>
    </row>
    <row r="24" spans="1:3" x14ac:dyDescent="0.25">
      <c r="A24" s="2" t="s">
        <v>26</v>
      </c>
      <c r="B24" s="2" t="s">
        <v>23</v>
      </c>
      <c r="C24" s="2" t="s">
        <v>23</v>
      </c>
    </row>
    <row r="25" spans="1:3" x14ac:dyDescent="0.25">
      <c r="A25" s="2" t="s">
        <v>27</v>
      </c>
      <c r="B25" s="2" t="s">
        <v>23</v>
      </c>
      <c r="C25" s="2" t="s">
        <v>23</v>
      </c>
    </row>
    <row r="26" spans="1:3" x14ac:dyDescent="0.25">
      <c r="A26" s="2" t="s">
        <v>28</v>
      </c>
      <c r="B26" s="2" t="s">
        <v>23</v>
      </c>
      <c r="C26" s="2" t="s">
        <v>23</v>
      </c>
    </row>
    <row r="27" spans="1:3" x14ac:dyDescent="0.25">
      <c r="A27" s="2" t="s">
        <v>29</v>
      </c>
      <c r="B27" s="2" t="s">
        <v>23</v>
      </c>
      <c r="C27" s="2" t="s">
        <v>23</v>
      </c>
    </row>
    <row r="28" spans="1:3" x14ac:dyDescent="0.25">
      <c r="A28" s="2" t="s">
        <v>30</v>
      </c>
      <c r="B28" s="2" t="s">
        <v>23</v>
      </c>
      <c r="C28" s="2" t="s">
        <v>23</v>
      </c>
    </row>
    <row r="29" spans="1:3" x14ac:dyDescent="0.25">
      <c r="A29" s="2" t="s">
        <v>31</v>
      </c>
      <c r="B29" s="2" t="s">
        <v>23</v>
      </c>
      <c r="C29" s="2" t="s">
        <v>23</v>
      </c>
    </row>
    <row r="30" spans="1:3" x14ac:dyDescent="0.25">
      <c r="A30" s="2" t="s">
        <v>32</v>
      </c>
      <c r="B30" s="2" t="s">
        <v>23</v>
      </c>
      <c r="C30" s="2" t="s">
        <v>23</v>
      </c>
    </row>
    <row r="31" spans="1:3" x14ac:dyDescent="0.25">
      <c r="A31" s="2" t="s">
        <v>33</v>
      </c>
      <c r="B31" s="2" t="s">
        <v>23</v>
      </c>
      <c r="C31" s="2" t="s">
        <v>23</v>
      </c>
    </row>
    <row r="32" spans="1:3" x14ac:dyDescent="0.25">
      <c r="A32" s="2" t="s">
        <v>34</v>
      </c>
      <c r="B32" s="2" t="s">
        <v>23</v>
      </c>
      <c r="C32" s="2" t="s">
        <v>23</v>
      </c>
    </row>
    <row r="33" spans="1:3" x14ac:dyDescent="0.25">
      <c r="A33" s="2" t="s">
        <v>61</v>
      </c>
      <c r="B33" s="2" t="s">
        <v>23</v>
      </c>
      <c r="C33" s="2" t="s">
        <v>23</v>
      </c>
    </row>
    <row r="34" spans="1:3" x14ac:dyDescent="0.25">
      <c r="A34" s="2" t="s">
        <v>62</v>
      </c>
      <c r="B34" s="2" t="s">
        <v>23</v>
      </c>
      <c r="C34" s="2" t="s">
        <v>23</v>
      </c>
    </row>
    <row r="35" spans="1:3" x14ac:dyDescent="0.25">
      <c r="A35" s="2" t="s">
        <v>35</v>
      </c>
      <c r="B35" s="2" t="s">
        <v>23</v>
      </c>
      <c r="C35" s="2" t="s">
        <v>23</v>
      </c>
    </row>
    <row r="36" spans="1:3" x14ac:dyDescent="0.25">
      <c r="A36" s="2" t="s">
        <v>36</v>
      </c>
      <c r="B36" s="2" t="s">
        <v>23</v>
      </c>
      <c r="C36" s="2" t="s">
        <v>23</v>
      </c>
    </row>
    <row r="37" spans="1:3" x14ac:dyDescent="0.25">
      <c r="A37" s="2" t="s">
        <v>37</v>
      </c>
      <c r="B37" s="2" t="s">
        <v>23</v>
      </c>
      <c r="C37" s="2" t="s">
        <v>23</v>
      </c>
    </row>
    <row r="38" spans="1:3" x14ac:dyDescent="0.25">
      <c r="A38" s="2" t="s">
        <v>59</v>
      </c>
      <c r="B38" s="2" t="s">
        <v>39</v>
      </c>
      <c r="C38" s="2" t="s">
        <v>40</v>
      </c>
    </row>
    <row r="39" spans="1:3" x14ac:dyDescent="0.25">
      <c r="A39" s="2" t="s">
        <v>60</v>
      </c>
      <c r="B39" s="2" t="s">
        <v>39</v>
      </c>
      <c r="C39" s="2" t="s">
        <v>40</v>
      </c>
    </row>
    <row r="40" spans="1:3" x14ac:dyDescent="0.25">
      <c r="A40" s="2" t="s">
        <v>38</v>
      </c>
      <c r="B40" s="2" t="s">
        <v>39</v>
      </c>
      <c r="C40" s="2" t="s">
        <v>40</v>
      </c>
    </row>
    <row r="41" spans="1:3" x14ac:dyDescent="0.25">
      <c r="A41" s="2" t="s">
        <v>41</v>
      </c>
      <c r="B41" s="2" t="s">
        <v>39</v>
      </c>
      <c r="C41" s="2" t="s">
        <v>40</v>
      </c>
    </row>
    <row r="42" spans="1:3" x14ac:dyDescent="0.25">
      <c r="A42" s="2" t="s">
        <v>42</v>
      </c>
      <c r="B42" s="2" t="s">
        <v>39</v>
      </c>
      <c r="C42" s="2" t="s">
        <v>40</v>
      </c>
    </row>
    <row r="43" spans="1:3" x14ac:dyDescent="0.25">
      <c r="A43" s="2" t="s">
        <v>43</v>
      </c>
      <c r="B43" s="2" t="s">
        <v>39</v>
      </c>
      <c r="C43" s="2" t="s">
        <v>40</v>
      </c>
    </row>
    <row r="44" spans="1:3" x14ac:dyDescent="0.25">
      <c r="A44" s="2" t="s">
        <v>44</v>
      </c>
      <c r="B44" s="2" t="s">
        <v>39</v>
      </c>
      <c r="C44" s="2" t="s">
        <v>40</v>
      </c>
    </row>
    <row r="45" spans="1:3" x14ac:dyDescent="0.25">
      <c r="A45" s="2" t="s">
        <v>45</v>
      </c>
      <c r="B45" s="2" t="s">
        <v>39</v>
      </c>
      <c r="C45" s="2" t="s">
        <v>40</v>
      </c>
    </row>
    <row r="46" spans="1:3" x14ac:dyDescent="0.25">
      <c r="A46" s="2" t="s">
        <v>46</v>
      </c>
      <c r="B46" s="2" t="s">
        <v>39</v>
      </c>
      <c r="C46" s="2" t="s">
        <v>40</v>
      </c>
    </row>
    <row r="47" spans="1:3" x14ac:dyDescent="0.25">
      <c r="A47" s="2" t="s">
        <v>47</v>
      </c>
      <c r="B47" s="2" t="s">
        <v>48</v>
      </c>
      <c r="C47" s="2" t="s">
        <v>48</v>
      </c>
    </row>
    <row r="48" spans="1:3" x14ac:dyDescent="0.25">
      <c r="A48" s="2" t="s">
        <v>49</v>
      </c>
      <c r="B48" s="2" t="s">
        <v>48</v>
      </c>
      <c r="C48" s="2" t="s">
        <v>48</v>
      </c>
    </row>
    <row r="49" spans="1:3" x14ac:dyDescent="0.25">
      <c r="A49" s="2" t="s">
        <v>50</v>
      </c>
      <c r="B49" s="2" t="s">
        <v>48</v>
      </c>
      <c r="C49" s="2" t="s">
        <v>48</v>
      </c>
    </row>
    <row r="50" spans="1:3" x14ac:dyDescent="0.25">
      <c r="A50" s="2" t="s">
        <v>51</v>
      </c>
      <c r="B50" s="2" t="s">
        <v>48</v>
      </c>
      <c r="C50" s="2" t="s">
        <v>48</v>
      </c>
    </row>
    <row r="51" spans="1:3" x14ac:dyDescent="0.25">
      <c r="A51" s="2" t="s">
        <v>52</v>
      </c>
      <c r="B51" s="2" t="s">
        <v>48</v>
      </c>
      <c r="C51" s="2" t="s">
        <v>48</v>
      </c>
    </row>
    <row r="52" spans="1:3" x14ac:dyDescent="0.25">
      <c r="A52" s="2" t="s">
        <v>53</v>
      </c>
      <c r="B52" s="2" t="s">
        <v>48</v>
      </c>
      <c r="C52" s="2" t="s">
        <v>48</v>
      </c>
    </row>
    <row r="53" spans="1:3" x14ac:dyDescent="0.25">
      <c r="A53" s="2" t="s">
        <v>54</v>
      </c>
      <c r="B53" s="2" t="s">
        <v>48</v>
      </c>
      <c r="C53" s="2" t="s">
        <v>48</v>
      </c>
    </row>
    <row r="54" spans="1:3" x14ac:dyDescent="0.25">
      <c r="A54" s="2" t="s">
        <v>55</v>
      </c>
      <c r="B54" s="2" t="s">
        <v>48</v>
      </c>
      <c r="C54" s="2" t="s">
        <v>48</v>
      </c>
    </row>
    <row r="55" spans="1:3" x14ac:dyDescent="0.25">
      <c r="A55" s="2" t="s">
        <v>56</v>
      </c>
      <c r="B55" s="2" t="s">
        <v>48</v>
      </c>
      <c r="C55" s="2" t="s">
        <v>48</v>
      </c>
    </row>
    <row r="56" spans="1:3" x14ac:dyDescent="0.25">
      <c r="A56" s="2" t="s">
        <v>67</v>
      </c>
      <c r="B56" s="2" t="s">
        <v>48</v>
      </c>
      <c r="C56" s="2" t="s">
        <v>48</v>
      </c>
    </row>
    <row r="57" spans="1:3" x14ac:dyDescent="0.25">
      <c r="A57" s="2" t="s">
        <v>57</v>
      </c>
      <c r="B57" s="2" t="s">
        <v>48</v>
      </c>
      <c r="C57" s="2" t="s">
        <v>48</v>
      </c>
    </row>
    <row r="58" spans="1:3" x14ac:dyDescent="0.25">
      <c r="A58" s="2" t="s">
        <v>58</v>
      </c>
      <c r="B58" s="2" t="s">
        <v>48</v>
      </c>
      <c r="C58" s="2" t="s">
        <v>48</v>
      </c>
    </row>
    <row r="59" spans="1:3" x14ac:dyDescent="0.25">
      <c r="A59" s="2" t="s">
        <v>63</v>
      </c>
      <c r="B59" s="2" t="s">
        <v>63</v>
      </c>
      <c r="C59" s="2" t="s">
        <v>63</v>
      </c>
    </row>
    <row r="60" spans="1:3" x14ac:dyDescent="0.25">
      <c r="A60" s="2" t="s">
        <v>64</v>
      </c>
      <c r="B60" s="2" t="s">
        <v>63</v>
      </c>
      <c r="C60" s="2" t="s">
        <v>63</v>
      </c>
    </row>
    <row r="61" spans="1:3" x14ac:dyDescent="0.25">
      <c r="A61" s="2" t="s">
        <v>65</v>
      </c>
      <c r="B61" s="2" t="s">
        <v>63</v>
      </c>
      <c r="C61" s="2" t="s">
        <v>63</v>
      </c>
    </row>
    <row r="62" spans="1:3" x14ac:dyDescent="0.25">
      <c r="A62" s="2" t="s">
        <v>66</v>
      </c>
      <c r="B62" s="2" t="s">
        <v>63</v>
      </c>
      <c r="C62" s="2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D414-6B66-48C6-9B8E-CACAFD0C8507}">
  <dimension ref="A1:Y413"/>
  <sheetViews>
    <sheetView topLeftCell="F1" zoomScale="85" zoomScaleNormal="85" workbookViewId="0">
      <selection activeCell="O5" sqref="O5"/>
    </sheetView>
  </sheetViews>
  <sheetFormatPr defaultRowHeight="13.8" x14ac:dyDescent="0.25"/>
  <cols>
    <col min="3" max="3" width="14.69921875" bestFit="1" customWidth="1"/>
    <col min="4" max="4" width="10.796875" bestFit="1" customWidth="1"/>
    <col min="5" max="5" width="25.5" style="21" customWidth="1"/>
    <col min="6" max="6" width="10.59765625" style="26" customWidth="1"/>
    <col min="7" max="12" width="10.59765625" style="9" customWidth="1"/>
    <col min="14" max="14" width="19.8984375" style="21" bestFit="1" customWidth="1"/>
    <col min="15" max="15" width="10.59765625" style="26" customWidth="1"/>
    <col min="16" max="19" width="10.59765625" style="9" customWidth="1"/>
  </cols>
  <sheetData>
    <row r="1" spans="1:25" ht="13.8" customHeight="1" x14ac:dyDescent="0.25">
      <c r="C1" t="s">
        <v>543</v>
      </c>
      <c r="D1" s="7"/>
      <c r="E1" s="19" t="s">
        <v>494</v>
      </c>
      <c r="F1" s="22" t="s">
        <v>499</v>
      </c>
      <c r="G1" t="s">
        <v>495</v>
      </c>
      <c r="H1" t="s">
        <v>496</v>
      </c>
      <c r="I1" t="s">
        <v>497</v>
      </c>
      <c r="J1" t="s">
        <v>498</v>
      </c>
      <c r="K1" s="8"/>
      <c r="L1" s="8"/>
      <c r="N1" s="4" t="s">
        <v>545</v>
      </c>
      <c r="O1" s="22" t="s">
        <v>499</v>
      </c>
      <c r="P1" t="s">
        <v>495</v>
      </c>
      <c r="Q1" t="s">
        <v>496</v>
      </c>
      <c r="R1" t="s">
        <v>497</v>
      </c>
      <c r="S1" t="s">
        <v>498</v>
      </c>
    </row>
    <row r="2" spans="1:25" x14ac:dyDescent="0.25">
      <c r="D2" s="7"/>
      <c r="E2" s="20"/>
      <c r="F2" s="23" t="s">
        <v>68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74</v>
      </c>
      <c r="N2" s="20"/>
      <c r="O2" s="23" t="s">
        <v>68</v>
      </c>
      <c r="P2" s="8" t="s">
        <v>69</v>
      </c>
      <c r="Q2" s="8" t="s">
        <v>70</v>
      </c>
      <c r="R2" s="8" t="s">
        <v>71</v>
      </c>
      <c r="S2" s="8" t="s">
        <v>72</v>
      </c>
    </row>
    <row r="3" spans="1:25" ht="16.2" x14ac:dyDescent="0.25">
      <c r="D3" s="3"/>
      <c r="E3" s="4"/>
      <c r="F3" s="24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N3" s="4"/>
      <c r="O3" s="24" t="s">
        <v>76</v>
      </c>
      <c r="P3" s="3" t="s">
        <v>77</v>
      </c>
      <c r="Q3" s="3" t="s">
        <v>78</v>
      </c>
      <c r="R3" s="3" t="s">
        <v>79</v>
      </c>
      <c r="S3" s="3" t="s">
        <v>80</v>
      </c>
    </row>
    <row r="4" spans="1:25" ht="16.2" x14ac:dyDescent="0.25">
      <c r="D4" s="4"/>
      <c r="E4" s="4"/>
      <c r="F4" s="24"/>
      <c r="G4" s="3" t="s">
        <v>83</v>
      </c>
      <c r="H4" s="3" t="s">
        <v>83</v>
      </c>
      <c r="I4" s="3" t="s">
        <v>83</v>
      </c>
      <c r="J4" s="3" t="s">
        <v>83</v>
      </c>
      <c r="K4" s="3" t="s">
        <v>83</v>
      </c>
      <c r="L4" s="3" t="s">
        <v>84</v>
      </c>
      <c r="N4" s="4"/>
      <c r="O4" s="24"/>
      <c r="P4" s="3" t="s">
        <v>83</v>
      </c>
      <c r="Q4" s="3" t="s">
        <v>83</v>
      </c>
      <c r="R4" s="3" t="s">
        <v>83</v>
      </c>
      <c r="S4" s="3" t="s">
        <v>83</v>
      </c>
      <c r="Y4">
        <v>3</v>
      </c>
    </row>
    <row r="5" spans="1:25" x14ac:dyDescent="0.25">
      <c r="A5">
        <v>1200</v>
      </c>
      <c r="B5" s="11">
        <f>ROUND(F5,0)</f>
        <v>455</v>
      </c>
      <c r="C5" s="11" t="str">
        <f>"I "&amp;A5&amp;"X"&amp;B5</f>
        <v>I 1200X455</v>
      </c>
      <c r="D5" s="5" t="s">
        <v>85</v>
      </c>
      <c r="E5" s="5" t="str">
        <f>IF((G5/H5)&lt;2,"H - ","I - ")&amp;G5&amp;" x "&amp;H5&amp;" x "&amp;I5&amp;" x "&amp;J5</f>
        <v>I - 1200 x 500 x 16 x 40</v>
      </c>
      <c r="F5" s="25">
        <v>455</v>
      </c>
      <c r="G5" s="6">
        <v>1200</v>
      </c>
      <c r="H5" s="6">
        <v>500</v>
      </c>
      <c r="I5" s="6">
        <v>16</v>
      </c>
      <c r="J5" s="6">
        <v>40</v>
      </c>
      <c r="K5" s="6">
        <v>1120</v>
      </c>
      <c r="L5" s="6">
        <f t="shared" ref="L5:L45" si="0">(H5*J5*2)+(I5*K5)</f>
        <v>57920</v>
      </c>
      <c r="N5" s="5" t="str">
        <f>IF((P5/Q5)&lt;2,"H - ","I - ")&amp;P5&amp;" x "&amp;Q5&amp;" x "&amp;R5&amp;" x "&amp;S5</f>
        <v>I - 1200 x 500 x 16 x 40</v>
      </c>
      <c r="O5" s="25">
        <f>((P5-2*S5)*R5+2*Q5*S5)*7850/10^6</f>
        <v>454.67200000000003</v>
      </c>
      <c r="P5" s="6">
        <f>ROUND(G5,0)</f>
        <v>1200</v>
      </c>
      <c r="Q5" s="6">
        <f>ROUND(H5,0)</f>
        <v>500</v>
      </c>
      <c r="R5" s="6" cm="1">
        <f t="array" ref="R5">IF(I5-LOOKUP(I5, $Y$4:$Y$26) &lt;= 0.1, LOOKUP(I5, $Y$4:$Y$26), MIN(_xlfn._xlws.FILTER($Y$4:$Y$26, $Y$4:$Y$26&gt;=I5)))</f>
        <v>16</v>
      </c>
      <c r="S5" s="6" cm="1">
        <f t="array" ref="S5">IF(J5-LOOKUP(J5, $Y$4:$Y$26) &lt;= 0.1, LOOKUP(J5, $Y$4:$Y$26), MIN(_xlfn._xlws.FILTER($Y$4:$Y$26, $Y$4:$Y$26&gt;=J5)))</f>
        <v>40</v>
      </c>
      <c r="Y5">
        <v>4</v>
      </c>
    </row>
    <row r="6" spans="1:25" x14ac:dyDescent="0.25">
      <c r="A6">
        <v>1200</v>
      </c>
      <c r="B6" s="11">
        <f t="shared" ref="B6:B69" si="1">ROUND(F6,0)</f>
        <v>423</v>
      </c>
      <c r="C6" s="11" t="str">
        <f t="shared" ref="C6:C69" si="2">"I "&amp;A6&amp;"X"&amp;B6</f>
        <v>I 1200X423</v>
      </c>
      <c r="D6" s="5" t="s">
        <v>86</v>
      </c>
      <c r="E6" s="5" t="str">
        <f t="shared" ref="E6:E69" si="3">IF((G6/H6)&lt;2,"H - ","I - ")&amp;G6&amp;" x "&amp;H6&amp;" x "&amp;I6&amp;" x "&amp;J6</f>
        <v>I - 1192 x 500 x 16 x 36</v>
      </c>
      <c r="F6" s="25">
        <v>423</v>
      </c>
      <c r="G6" s="6">
        <v>1192</v>
      </c>
      <c r="H6" s="6">
        <v>500</v>
      </c>
      <c r="I6" s="6">
        <v>16</v>
      </c>
      <c r="J6" s="6">
        <v>36</v>
      </c>
      <c r="K6" s="6">
        <v>1120</v>
      </c>
      <c r="L6" s="6">
        <f t="shared" si="0"/>
        <v>53920</v>
      </c>
      <c r="N6" s="5" t="str">
        <f t="shared" ref="N6:N69" si="4">IF((P6/Q6)&lt;2,"H - ","I - ")&amp;P6&amp;" x "&amp;Q6&amp;" x "&amp;R6&amp;" x "&amp;S6</f>
        <v>I - 1192 x 500 x 16 x 40</v>
      </c>
      <c r="O6" s="25">
        <f t="shared" ref="O6:O69" si="5">((P6-2*S6)*R6+2*Q6*S6)*7850/10^6</f>
        <v>453.66719999999998</v>
      </c>
      <c r="P6" s="6">
        <f t="shared" ref="P6:Q69" si="6">ROUND(G6,0)</f>
        <v>1192</v>
      </c>
      <c r="Q6" s="6">
        <f t="shared" si="6"/>
        <v>500</v>
      </c>
      <c r="R6" s="6" cm="1">
        <f t="array" ref="R6">IF(I6-LOOKUP(I6, $Y$4:$Y$26) &lt;= 0.1, LOOKUP(I6, $Y$4:$Y$26), MIN(_xlfn._xlws.FILTER($Y$4:$Y$26, $Y$4:$Y$26&gt;=I6)))</f>
        <v>16</v>
      </c>
      <c r="S6" s="6" cm="1">
        <f t="array" ref="S6">IF(J6-LOOKUP(J6, $Y$4:$Y$26) &lt;= 0.1, LOOKUP(J6, $Y$4:$Y$26), MIN(_xlfn._xlws.FILTER($Y$4:$Y$26, $Y$4:$Y$26&gt;=J6)))</f>
        <v>40</v>
      </c>
      <c r="Y6">
        <v>6</v>
      </c>
    </row>
    <row r="7" spans="1:25" x14ac:dyDescent="0.25">
      <c r="A7">
        <v>1200</v>
      </c>
      <c r="B7" s="11">
        <f t="shared" si="1"/>
        <v>392</v>
      </c>
      <c r="C7" s="11" t="str">
        <f t="shared" si="2"/>
        <v>I 1200X392</v>
      </c>
      <c r="D7" s="5" t="s">
        <v>87</v>
      </c>
      <c r="E7" s="5" t="str">
        <f t="shared" si="3"/>
        <v>I - 1184 x 500 x 16 x 32</v>
      </c>
      <c r="F7" s="25">
        <v>392</v>
      </c>
      <c r="G7" s="6">
        <v>1184</v>
      </c>
      <c r="H7" s="6">
        <v>500</v>
      </c>
      <c r="I7" s="6">
        <v>16</v>
      </c>
      <c r="J7" s="6">
        <v>32</v>
      </c>
      <c r="K7" s="6">
        <v>1120</v>
      </c>
      <c r="L7" s="6">
        <f t="shared" si="0"/>
        <v>49920</v>
      </c>
      <c r="N7" s="5" t="str">
        <f t="shared" si="4"/>
        <v>I - 1184 x 500 x 16 x 32</v>
      </c>
      <c r="O7" s="25">
        <f t="shared" si="5"/>
        <v>391.87200000000001</v>
      </c>
      <c r="P7" s="6">
        <f t="shared" si="6"/>
        <v>1184</v>
      </c>
      <c r="Q7" s="6">
        <f t="shared" si="6"/>
        <v>500</v>
      </c>
      <c r="R7" s="6" cm="1">
        <f t="array" ref="R7">IF(I7-LOOKUP(I7, $Y$4:$Y$26) &lt;= 0.1, LOOKUP(I7, $Y$4:$Y$26), MIN(_xlfn._xlws.FILTER($Y$4:$Y$26, $Y$4:$Y$26&gt;=I7)))</f>
        <v>16</v>
      </c>
      <c r="S7" s="6" cm="1">
        <f t="array" ref="S7">IF(J7-LOOKUP(J7, $Y$4:$Y$26) &lt;= 0.1, LOOKUP(J7, $Y$4:$Y$26), MIN(_xlfn._xlws.FILTER($Y$4:$Y$26, $Y$4:$Y$26&gt;=J7)))</f>
        <v>32</v>
      </c>
      <c r="Y7">
        <v>8</v>
      </c>
    </row>
    <row r="8" spans="1:25" x14ac:dyDescent="0.25">
      <c r="A8">
        <v>1200</v>
      </c>
      <c r="B8" s="11">
        <f t="shared" si="1"/>
        <v>342</v>
      </c>
      <c r="C8" s="11" t="str">
        <f t="shared" si="2"/>
        <v>I 1200X342</v>
      </c>
      <c r="D8" s="5" t="s">
        <v>88</v>
      </c>
      <c r="E8" s="5" t="str">
        <f t="shared" si="3"/>
        <v>I - 1184 x 400 x 16 x 32</v>
      </c>
      <c r="F8" s="25">
        <v>342</v>
      </c>
      <c r="G8" s="6">
        <v>1184</v>
      </c>
      <c r="H8" s="6">
        <v>400</v>
      </c>
      <c r="I8" s="6">
        <v>16</v>
      </c>
      <c r="J8" s="6">
        <v>32</v>
      </c>
      <c r="K8" s="6">
        <v>1120</v>
      </c>
      <c r="L8" s="6">
        <f t="shared" si="0"/>
        <v>43520</v>
      </c>
      <c r="N8" s="5" t="str">
        <f t="shared" si="4"/>
        <v>I - 1184 x 400 x 16 x 32</v>
      </c>
      <c r="O8" s="25">
        <f t="shared" si="5"/>
        <v>341.63200000000001</v>
      </c>
      <c r="P8" s="6">
        <f t="shared" si="6"/>
        <v>1184</v>
      </c>
      <c r="Q8" s="6">
        <f t="shared" si="6"/>
        <v>400</v>
      </c>
      <c r="R8" s="6" cm="1">
        <f t="array" ref="R8">IF(I8-LOOKUP(I8, $Y$4:$Y$26) &lt;= 0.1, LOOKUP(I8, $Y$4:$Y$26), MIN(_xlfn._xlws.FILTER($Y$4:$Y$26, $Y$4:$Y$26&gt;=I8)))</f>
        <v>16</v>
      </c>
      <c r="S8" s="6" cm="1">
        <f t="array" ref="S8">IF(J8-LOOKUP(J8, $Y$4:$Y$26) &lt;= 0.1, LOOKUP(J8, $Y$4:$Y$26), MIN(_xlfn._xlws.FILTER($Y$4:$Y$26, $Y$4:$Y$26&gt;=J8)))</f>
        <v>32</v>
      </c>
      <c r="Y8">
        <v>10</v>
      </c>
    </row>
    <row r="9" spans="1:25" x14ac:dyDescent="0.25">
      <c r="A9">
        <v>1200</v>
      </c>
      <c r="B9" s="11">
        <f t="shared" si="1"/>
        <v>317</v>
      </c>
      <c r="C9" s="11" t="str">
        <f t="shared" si="2"/>
        <v>I 1200X317</v>
      </c>
      <c r="D9" s="5" t="s">
        <v>89</v>
      </c>
      <c r="E9" s="5" t="str">
        <f t="shared" si="3"/>
        <v>I - 1176 x 400 x 16 x 28</v>
      </c>
      <c r="F9" s="25">
        <v>317</v>
      </c>
      <c r="G9" s="6">
        <v>1176</v>
      </c>
      <c r="H9" s="6">
        <v>400</v>
      </c>
      <c r="I9" s="6">
        <v>16</v>
      </c>
      <c r="J9" s="6">
        <v>28</v>
      </c>
      <c r="K9" s="6">
        <v>1120</v>
      </c>
      <c r="L9" s="6">
        <f t="shared" si="0"/>
        <v>40320</v>
      </c>
      <c r="N9" s="5" t="str">
        <f t="shared" si="4"/>
        <v>I - 1176 x 400 x 16 x 28</v>
      </c>
      <c r="O9" s="25">
        <f t="shared" si="5"/>
        <v>316.512</v>
      </c>
      <c r="P9" s="6">
        <f t="shared" si="6"/>
        <v>1176</v>
      </c>
      <c r="Q9" s="6">
        <f t="shared" si="6"/>
        <v>400</v>
      </c>
      <c r="R9" s="6" cm="1">
        <f t="array" ref="R9">IF(I9-LOOKUP(I9, $Y$4:$Y$26) &lt;= 0.1, LOOKUP(I9, $Y$4:$Y$26), MIN(_xlfn._xlws.FILTER($Y$4:$Y$26, $Y$4:$Y$26&gt;=I9)))</f>
        <v>16</v>
      </c>
      <c r="S9" s="6" cm="1">
        <f t="array" ref="S9">IF(J9-LOOKUP(J9, $Y$4:$Y$26) &lt;= 0.1, LOOKUP(J9, $Y$4:$Y$26), MIN(_xlfn._xlws.FILTER($Y$4:$Y$26, $Y$4:$Y$26&gt;=J9)))</f>
        <v>28</v>
      </c>
      <c r="Y9">
        <v>12</v>
      </c>
    </row>
    <row r="10" spans="1:25" x14ac:dyDescent="0.25">
      <c r="A10">
        <v>1200</v>
      </c>
      <c r="B10" s="11">
        <f t="shared" si="1"/>
        <v>278</v>
      </c>
      <c r="C10" s="11" t="str">
        <f t="shared" si="2"/>
        <v>I 1200X278</v>
      </c>
      <c r="D10" s="5" t="s">
        <v>90</v>
      </c>
      <c r="E10" s="5" t="str">
        <f t="shared" si="3"/>
        <v>I - 1170 x 350 x 16 x 25</v>
      </c>
      <c r="F10" s="25">
        <v>278</v>
      </c>
      <c r="G10" s="6">
        <v>1170</v>
      </c>
      <c r="H10" s="6">
        <v>350</v>
      </c>
      <c r="I10" s="6">
        <v>16</v>
      </c>
      <c r="J10" s="6">
        <v>25</v>
      </c>
      <c r="K10" s="6">
        <v>1120</v>
      </c>
      <c r="L10" s="6">
        <f t="shared" si="0"/>
        <v>35420</v>
      </c>
      <c r="N10" s="5" t="str">
        <f t="shared" si="4"/>
        <v>I - 1170 x 350 x 16 x 25</v>
      </c>
      <c r="O10" s="25">
        <f t="shared" si="5"/>
        <v>278.04700000000003</v>
      </c>
      <c r="P10" s="6">
        <f t="shared" si="6"/>
        <v>1170</v>
      </c>
      <c r="Q10" s="6">
        <f t="shared" si="6"/>
        <v>350</v>
      </c>
      <c r="R10" s="6" cm="1">
        <f t="array" ref="R10">IF(I10-LOOKUP(I10, $Y$4:$Y$26) &lt;= 0.1, LOOKUP(I10, $Y$4:$Y$26), MIN(_xlfn._xlws.FILTER($Y$4:$Y$26, $Y$4:$Y$26&gt;=I10)))</f>
        <v>16</v>
      </c>
      <c r="S10" s="6" cm="1">
        <f t="array" ref="S10">IF(J10-LOOKUP(J10, $Y$4:$Y$26) &lt;= 0.1, LOOKUP(J10, $Y$4:$Y$26), MIN(_xlfn._xlws.FILTER($Y$4:$Y$26, $Y$4:$Y$26&gt;=J10)))</f>
        <v>25</v>
      </c>
      <c r="Y10">
        <v>14</v>
      </c>
    </row>
    <row r="11" spans="1:25" x14ac:dyDescent="0.25">
      <c r="A11">
        <v>1200</v>
      </c>
      <c r="B11" s="11">
        <f t="shared" si="1"/>
        <v>249</v>
      </c>
      <c r="C11" s="11" t="str">
        <f t="shared" si="2"/>
        <v>I 1200X249</v>
      </c>
      <c r="D11" s="5" t="s">
        <v>91</v>
      </c>
      <c r="E11" s="5" t="str">
        <f t="shared" si="3"/>
        <v>I - 1170 x 275 x 16 x 25</v>
      </c>
      <c r="F11" s="25">
        <v>249</v>
      </c>
      <c r="G11" s="6">
        <v>1170</v>
      </c>
      <c r="H11" s="6">
        <v>275</v>
      </c>
      <c r="I11" s="6">
        <v>16</v>
      </c>
      <c r="J11" s="6">
        <v>25</v>
      </c>
      <c r="K11" s="6">
        <v>1120</v>
      </c>
      <c r="L11" s="6">
        <f t="shared" si="0"/>
        <v>31670</v>
      </c>
      <c r="N11" s="5" t="str">
        <f t="shared" si="4"/>
        <v>I - 1170 x 275 x 16 x 25</v>
      </c>
      <c r="O11" s="25">
        <f t="shared" si="5"/>
        <v>248.6095</v>
      </c>
      <c r="P11" s="6">
        <f t="shared" si="6"/>
        <v>1170</v>
      </c>
      <c r="Q11" s="6">
        <f t="shared" si="6"/>
        <v>275</v>
      </c>
      <c r="R11" s="6" cm="1">
        <f t="array" ref="R11">IF(I11-LOOKUP(I11, $Y$4:$Y$26) &lt;= 0.1, LOOKUP(I11, $Y$4:$Y$26), MIN(_xlfn._xlws.FILTER($Y$4:$Y$26, $Y$4:$Y$26&gt;=I11)))</f>
        <v>16</v>
      </c>
      <c r="S11" s="6" cm="1">
        <f t="array" ref="S11">IF(J11-LOOKUP(J11, $Y$4:$Y$26) &lt;= 0.1, LOOKUP(J11, $Y$4:$Y$26), MIN(_xlfn._xlws.FILTER($Y$4:$Y$26, $Y$4:$Y$26&gt;=J11)))</f>
        <v>25</v>
      </c>
      <c r="Y11">
        <v>16</v>
      </c>
    </row>
    <row r="12" spans="1:25" x14ac:dyDescent="0.25">
      <c r="A12">
        <v>1000</v>
      </c>
      <c r="B12" s="11">
        <f t="shared" si="1"/>
        <v>322</v>
      </c>
      <c r="C12" s="11" t="str">
        <f t="shared" si="2"/>
        <v>I 1000X322</v>
      </c>
      <c r="D12" s="5" t="s">
        <v>92</v>
      </c>
      <c r="E12" s="5" t="str">
        <f t="shared" si="3"/>
        <v>I - 1024 x 400 x 16 x 32</v>
      </c>
      <c r="F12" s="25">
        <v>322</v>
      </c>
      <c r="G12" s="6">
        <v>1024</v>
      </c>
      <c r="H12" s="6">
        <v>400</v>
      </c>
      <c r="I12" s="6">
        <v>16</v>
      </c>
      <c r="J12" s="6">
        <v>32</v>
      </c>
      <c r="K12" s="6">
        <v>960</v>
      </c>
      <c r="L12" s="6">
        <f t="shared" si="0"/>
        <v>40960</v>
      </c>
      <c r="N12" s="5" t="str">
        <f t="shared" si="4"/>
        <v>I - 1024 x 400 x 16 x 32</v>
      </c>
      <c r="O12" s="25">
        <f t="shared" si="5"/>
        <v>321.536</v>
      </c>
      <c r="P12" s="6">
        <f t="shared" si="6"/>
        <v>1024</v>
      </c>
      <c r="Q12" s="6">
        <f t="shared" si="6"/>
        <v>400</v>
      </c>
      <c r="R12" s="6" cm="1">
        <f t="array" ref="R12">IF(I12-LOOKUP(I12, $Y$4:$Y$26) &lt;= 0.1, LOOKUP(I12, $Y$4:$Y$26), MIN(_xlfn._xlws.FILTER($Y$4:$Y$26, $Y$4:$Y$26&gt;=I12)))</f>
        <v>16</v>
      </c>
      <c r="S12" s="6" cm="1">
        <f t="array" ref="S12">IF(J12-LOOKUP(J12, $Y$4:$Y$26) &lt;= 0.1, LOOKUP(J12, $Y$4:$Y$26), MIN(_xlfn._xlws.FILTER($Y$4:$Y$26, $Y$4:$Y$26&gt;=J12)))</f>
        <v>32</v>
      </c>
      <c r="Y12">
        <v>18</v>
      </c>
    </row>
    <row r="13" spans="1:25" x14ac:dyDescent="0.25">
      <c r="A13">
        <v>1000</v>
      </c>
      <c r="B13" s="11">
        <f t="shared" si="1"/>
        <v>296</v>
      </c>
      <c r="C13" s="11" t="str">
        <f t="shared" si="2"/>
        <v>I 1000X296</v>
      </c>
      <c r="D13" s="5" t="s">
        <v>93</v>
      </c>
      <c r="E13" s="5" t="str">
        <f t="shared" si="3"/>
        <v>I - 1016 x 400 x 16 x 28</v>
      </c>
      <c r="F13" s="25">
        <v>296</v>
      </c>
      <c r="G13" s="6">
        <v>1016</v>
      </c>
      <c r="H13" s="6">
        <v>400</v>
      </c>
      <c r="I13" s="6">
        <v>16</v>
      </c>
      <c r="J13" s="6">
        <v>28</v>
      </c>
      <c r="K13" s="6">
        <v>960</v>
      </c>
      <c r="L13" s="6">
        <f t="shared" si="0"/>
        <v>37760</v>
      </c>
      <c r="N13" s="5" t="str">
        <f t="shared" si="4"/>
        <v>I - 1016 x 400 x 16 x 28</v>
      </c>
      <c r="O13" s="25">
        <f t="shared" si="5"/>
        <v>296.416</v>
      </c>
      <c r="P13" s="6">
        <f t="shared" si="6"/>
        <v>1016</v>
      </c>
      <c r="Q13" s="6">
        <f t="shared" si="6"/>
        <v>400</v>
      </c>
      <c r="R13" s="6" cm="1">
        <f t="array" ref="R13">IF(I13-LOOKUP(I13, $Y$4:$Y$26) &lt;= 0.1, LOOKUP(I13, $Y$4:$Y$26), MIN(_xlfn._xlws.FILTER($Y$4:$Y$26, $Y$4:$Y$26&gt;=I13)))</f>
        <v>16</v>
      </c>
      <c r="S13" s="6" cm="1">
        <f t="array" ref="S13">IF(J13-LOOKUP(J13, $Y$4:$Y$26) &lt;= 0.1, LOOKUP(J13, $Y$4:$Y$26), MIN(_xlfn._xlws.FILTER($Y$4:$Y$26, $Y$4:$Y$26&gt;=J13)))</f>
        <v>28</v>
      </c>
      <c r="Y13">
        <v>20</v>
      </c>
    </row>
    <row r="14" spans="1:25" x14ac:dyDescent="0.25">
      <c r="A14">
        <v>1000</v>
      </c>
      <c r="B14" s="11">
        <f t="shared" si="1"/>
        <v>258</v>
      </c>
      <c r="C14" s="11" t="str">
        <f t="shared" si="2"/>
        <v>I 1000X258</v>
      </c>
      <c r="D14" s="5" t="s">
        <v>94</v>
      </c>
      <c r="E14" s="5" t="str">
        <f t="shared" si="3"/>
        <v>I - 1010 x 350 x 16 x 25</v>
      </c>
      <c r="F14" s="25">
        <v>258</v>
      </c>
      <c r="G14" s="6">
        <v>1010</v>
      </c>
      <c r="H14" s="6">
        <v>350</v>
      </c>
      <c r="I14" s="6">
        <v>16</v>
      </c>
      <c r="J14" s="6">
        <v>25</v>
      </c>
      <c r="K14" s="6">
        <v>960</v>
      </c>
      <c r="L14" s="6">
        <f t="shared" si="0"/>
        <v>32860</v>
      </c>
      <c r="N14" s="5" t="str">
        <f t="shared" si="4"/>
        <v>I - 1010 x 350 x 16 x 25</v>
      </c>
      <c r="O14" s="25">
        <f t="shared" si="5"/>
        <v>257.95100000000002</v>
      </c>
      <c r="P14" s="6">
        <f t="shared" si="6"/>
        <v>1010</v>
      </c>
      <c r="Q14" s="6">
        <f t="shared" si="6"/>
        <v>350</v>
      </c>
      <c r="R14" s="6" cm="1">
        <f t="array" ref="R14">IF(I14-LOOKUP(I14, $Y$4:$Y$26) &lt;= 0.1, LOOKUP(I14, $Y$4:$Y$26), MIN(_xlfn._xlws.FILTER($Y$4:$Y$26, $Y$4:$Y$26&gt;=I14)))</f>
        <v>16</v>
      </c>
      <c r="S14" s="6" cm="1">
        <f t="array" ref="S14">IF(J14-LOOKUP(J14, $Y$4:$Y$26) &lt;= 0.1, LOOKUP(J14, $Y$4:$Y$26), MIN(_xlfn._xlws.FILTER($Y$4:$Y$26, $Y$4:$Y$26&gt;=J14)))</f>
        <v>25</v>
      </c>
      <c r="Y14">
        <v>22</v>
      </c>
    </row>
    <row r="15" spans="1:25" x14ac:dyDescent="0.25">
      <c r="A15">
        <v>1000</v>
      </c>
      <c r="B15" s="11">
        <f t="shared" si="1"/>
        <v>215</v>
      </c>
      <c r="C15" s="11" t="str">
        <f t="shared" si="2"/>
        <v>I 1000X215</v>
      </c>
      <c r="D15" s="5" t="s">
        <v>95</v>
      </c>
      <c r="E15" s="5" t="str">
        <f t="shared" si="3"/>
        <v>I - 1000 x 300 x 16 x 20</v>
      </c>
      <c r="F15" s="25">
        <v>215</v>
      </c>
      <c r="G15" s="6">
        <v>1000</v>
      </c>
      <c r="H15" s="6">
        <v>300</v>
      </c>
      <c r="I15" s="6">
        <v>16</v>
      </c>
      <c r="J15" s="6">
        <v>20</v>
      </c>
      <c r="K15" s="6">
        <v>960</v>
      </c>
      <c r="L15" s="6">
        <f t="shared" si="0"/>
        <v>27360</v>
      </c>
      <c r="N15" s="5" t="str">
        <f t="shared" si="4"/>
        <v>I - 1000 x 300 x 16 x 20</v>
      </c>
      <c r="O15" s="25">
        <f t="shared" si="5"/>
        <v>214.77600000000001</v>
      </c>
      <c r="P15" s="6">
        <f t="shared" si="6"/>
        <v>1000</v>
      </c>
      <c r="Q15" s="6">
        <f t="shared" si="6"/>
        <v>300</v>
      </c>
      <c r="R15" s="6" cm="1">
        <f t="array" ref="R15">IF(I15-LOOKUP(I15, $Y$4:$Y$26) &lt;= 0.1, LOOKUP(I15, $Y$4:$Y$26), MIN(_xlfn._xlws.FILTER($Y$4:$Y$26, $Y$4:$Y$26&gt;=I15)))</f>
        <v>16</v>
      </c>
      <c r="S15" s="6" cm="1">
        <f t="array" ref="S15">IF(J15-LOOKUP(J15, $Y$4:$Y$26) &lt;= 0.1, LOOKUP(J15, $Y$4:$Y$26), MIN(_xlfn._xlws.FILTER($Y$4:$Y$26, $Y$4:$Y$26&gt;=J15)))</f>
        <v>20</v>
      </c>
      <c r="Y15">
        <v>25</v>
      </c>
    </row>
    <row r="16" spans="1:25" x14ac:dyDescent="0.25">
      <c r="A16">
        <v>900</v>
      </c>
      <c r="B16" s="11">
        <f t="shared" si="1"/>
        <v>282</v>
      </c>
      <c r="C16" s="11" t="str">
        <f t="shared" si="2"/>
        <v>I 900X282</v>
      </c>
      <c r="D16" s="5" t="s">
        <v>96</v>
      </c>
      <c r="E16" s="5" t="str">
        <f t="shared" si="3"/>
        <v>I - 924 x 400 x 12 x 32</v>
      </c>
      <c r="F16" s="25">
        <v>282</v>
      </c>
      <c r="G16" s="6">
        <v>924</v>
      </c>
      <c r="H16" s="6">
        <v>400</v>
      </c>
      <c r="I16" s="6">
        <v>12</v>
      </c>
      <c r="J16" s="6">
        <v>32</v>
      </c>
      <c r="K16" s="6">
        <v>860</v>
      </c>
      <c r="L16" s="6">
        <f t="shared" si="0"/>
        <v>35920</v>
      </c>
      <c r="N16" s="5" t="str">
        <f t="shared" si="4"/>
        <v>I - 924 x 400 x 12 x 32</v>
      </c>
      <c r="O16" s="25">
        <f t="shared" si="5"/>
        <v>281.97199999999998</v>
      </c>
      <c r="P16" s="6">
        <f t="shared" si="6"/>
        <v>924</v>
      </c>
      <c r="Q16" s="6">
        <f t="shared" si="6"/>
        <v>400</v>
      </c>
      <c r="R16" s="6" cm="1">
        <f t="array" ref="R16">IF(I16-LOOKUP(I16, $Y$4:$Y$26) &lt;= 0.1, LOOKUP(I16, $Y$4:$Y$26), MIN(_xlfn._xlws.FILTER($Y$4:$Y$26, $Y$4:$Y$26&gt;=I16)))</f>
        <v>12</v>
      </c>
      <c r="S16" s="6" cm="1">
        <f t="array" ref="S16">IF(J16-LOOKUP(J16, $Y$4:$Y$26) &lt;= 0.1, LOOKUP(J16, $Y$4:$Y$26), MIN(_xlfn._xlws.FILTER($Y$4:$Y$26, $Y$4:$Y$26&gt;=J16)))</f>
        <v>32</v>
      </c>
      <c r="Y16">
        <v>28</v>
      </c>
    </row>
    <row r="17" spans="1:25" x14ac:dyDescent="0.25">
      <c r="A17">
        <v>900</v>
      </c>
      <c r="B17" s="11">
        <f t="shared" si="1"/>
        <v>257</v>
      </c>
      <c r="C17" s="11" t="str">
        <f t="shared" si="2"/>
        <v>I 900X257</v>
      </c>
      <c r="D17" s="5" t="s">
        <v>97</v>
      </c>
      <c r="E17" s="5" t="str">
        <f t="shared" si="3"/>
        <v>I - 916 x 400 x 12 x 28</v>
      </c>
      <c r="F17" s="25">
        <v>257</v>
      </c>
      <c r="G17" s="6">
        <v>916</v>
      </c>
      <c r="H17" s="6">
        <v>400</v>
      </c>
      <c r="I17" s="6">
        <v>12</v>
      </c>
      <c r="J17" s="6">
        <v>28</v>
      </c>
      <c r="K17" s="6">
        <v>860</v>
      </c>
      <c r="L17" s="6">
        <f t="shared" si="0"/>
        <v>32720</v>
      </c>
      <c r="N17" s="5" t="str">
        <f t="shared" si="4"/>
        <v>I - 916 x 400 x 12 x 28</v>
      </c>
      <c r="O17" s="25">
        <f t="shared" si="5"/>
        <v>256.85199999999998</v>
      </c>
      <c r="P17" s="6">
        <f t="shared" si="6"/>
        <v>916</v>
      </c>
      <c r="Q17" s="6">
        <f t="shared" si="6"/>
        <v>400</v>
      </c>
      <c r="R17" s="6" cm="1">
        <f t="array" ref="R17">IF(I17-LOOKUP(I17, $Y$4:$Y$26) &lt;= 0.1, LOOKUP(I17, $Y$4:$Y$26), MIN(_xlfn._xlws.FILTER($Y$4:$Y$26, $Y$4:$Y$26&gt;=I17)))</f>
        <v>12</v>
      </c>
      <c r="S17" s="6" cm="1">
        <f t="array" ref="S17">IF(J17-LOOKUP(J17, $Y$4:$Y$26) &lt;= 0.1, LOOKUP(J17, $Y$4:$Y$26), MIN(_xlfn._xlws.FILTER($Y$4:$Y$26, $Y$4:$Y$26&gt;=J17)))</f>
        <v>28</v>
      </c>
      <c r="Y17">
        <v>30</v>
      </c>
    </row>
    <row r="18" spans="1:25" x14ac:dyDescent="0.25">
      <c r="A18">
        <v>900</v>
      </c>
      <c r="B18" s="11">
        <f t="shared" si="1"/>
        <v>218</v>
      </c>
      <c r="C18" s="11" t="str">
        <f t="shared" si="2"/>
        <v>I 900X218</v>
      </c>
      <c r="D18" s="5" t="s">
        <v>98</v>
      </c>
      <c r="E18" s="5" t="str">
        <f t="shared" si="3"/>
        <v>I - 910 x 350 x 12 x 25</v>
      </c>
      <c r="F18" s="25">
        <v>218</v>
      </c>
      <c r="G18" s="6">
        <v>910</v>
      </c>
      <c r="H18" s="6">
        <v>350</v>
      </c>
      <c r="I18" s="6">
        <v>12</v>
      </c>
      <c r="J18" s="6">
        <v>25</v>
      </c>
      <c r="K18" s="6">
        <v>860</v>
      </c>
      <c r="L18" s="6">
        <f t="shared" si="0"/>
        <v>27820</v>
      </c>
      <c r="N18" s="5" t="str">
        <f t="shared" si="4"/>
        <v>I - 910 x 350 x 12 x 25</v>
      </c>
      <c r="O18" s="25">
        <f t="shared" si="5"/>
        <v>218.387</v>
      </c>
      <c r="P18" s="6">
        <f t="shared" si="6"/>
        <v>910</v>
      </c>
      <c r="Q18" s="6">
        <f t="shared" si="6"/>
        <v>350</v>
      </c>
      <c r="R18" s="6" cm="1">
        <f t="array" ref="R18">IF(I18-LOOKUP(I18, $Y$4:$Y$26) &lt;= 0.1, LOOKUP(I18, $Y$4:$Y$26), MIN(_xlfn._xlws.FILTER($Y$4:$Y$26, $Y$4:$Y$26&gt;=I18)))</f>
        <v>12</v>
      </c>
      <c r="S18" s="6" cm="1">
        <f t="array" ref="S18">IF(J18-LOOKUP(J18, $Y$4:$Y$26) &lt;= 0.1, LOOKUP(J18, $Y$4:$Y$26), MIN(_xlfn._xlws.FILTER($Y$4:$Y$26, $Y$4:$Y$26&gt;=J18)))</f>
        <v>25</v>
      </c>
      <c r="Y18">
        <v>32</v>
      </c>
    </row>
    <row r="19" spans="1:25" x14ac:dyDescent="0.25">
      <c r="A19">
        <v>900</v>
      </c>
      <c r="B19" s="11">
        <f t="shared" si="1"/>
        <v>175</v>
      </c>
      <c r="C19" s="11" t="str">
        <f t="shared" si="2"/>
        <v>I 900X175</v>
      </c>
      <c r="D19" s="5" t="s">
        <v>99</v>
      </c>
      <c r="E19" s="5" t="str">
        <f t="shared" si="3"/>
        <v>I - 900 x 300 x 12 x 20</v>
      </c>
      <c r="F19" s="25">
        <v>175</v>
      </c>
      <c r="G19" s="6">
        <v>900</v>
      </c>
      <c r="H19" s="6">
        <v>300</v>
      </c>
      <c r="I19" s="6">
        <v>12</v>
      </c>
      <c r="J19" s="6">
        <v>20</v>
      </c>
      <c r="K19" s="6">
        <v>860</v>
      </c>
      <c r="L19" s="6">
        <f t="shared" si="0"/>
        <v>22320</v>
      </c>
      <c r="N19" s="5" t="str">
        <f t="shared" si="4"/>
        <v>I - 900 x 300 x 12 x 20</v>
      </c>
      <c r="O19" s="25">
        <f t="shared" si="5"/>
        <v>175.21199999999999</v>
      </c>
      <c r="P19" s="6">
        <f t="shared" si="6"/>
        <v>900</v>
      </c>
      <c r="Q19" s="6">
        <f t="shared" si="6"/>
        <v>300</v>
      </c>
      <c r="R19" s="6" cm="1">
        <f t="array" ref="R19">IF(I19-LOOKUP(I19, $Y$4:$Y$26) &lt;= 0.1, LOOKUP(I19, $Y$4:$Y$26), MIN(_xlfn._xlws.FILTER($Y$4:$Y$26, $Y$4:$Y$26&gt;=I19)))</f>
        <v>12</v>
      </c>
      <c r="S19" s="6" cm="1">
        <f t="array" ref="S19">IF(J19-LOOKUP(J19, $Y$4:$Y$26) &lt;= 0.1, LOOKUP(J19, $Y$4:$Y$26), MIN(_xlfn._xlws.FILTER($Y$4:$Y$26, $Y$4:$Y$26&gt;=J19)))</f>
        <v>20</v>
      </c>
      <c r="Y19">
        <v>35</v>
      </c>
    </row>
    <row r="20" spans="1:25" x14ac:dyDescent="0.25">
      <c r="A20">
        <v>800</v>
      </c>
      <c r="B20" s="11">
        <f t="shared" si="1"/>
        <v>192</v>
      </c>
      <c r="C20" s="11" t="str">
        <f t="shared" si="2"/>
        <v>I 800X192</v>
      </c>
      <c r="D20" s="5" t="s">
        <v>100</v>
      </c>
      <c r="E20" s="5" t="str">
        <f t="shared" si="3"/>
        <v>I - 816 x 300 x 10 x 28</v>
      </c>
      <c r="F20" s="25">
        <v>192</v>
      </c>
      <c r="G20" s="6">
        <v>816</v>
      </c>
      <c r="H20" s="6">
        <v>300</v>
      </c>
      <c r="I20" s="6">
        <v>10</v>
      </c>
      <c r="J20" s="6">
        <v>28</v>
      </c>
      <c r="K20" s="6">
        <v>760</v>
      </c>
      <c r="L20" s="6">
        <f t="shared" si="0"/>
        <v>24400</v>
      </c>
      <c r="N20" s="5" t="str">
        <f t="shared" si="4"/>
        <v>I - 816 x 300 x 10 x 28</v>
      </c>
      <c r="O20" s="25">
        <f t="shared" si="5"/>
        <v>191.54</v>
      </c>
      <c r="P20" s="6">
        <f t="shared" si="6"/>
        <v>816</v>
      </c>
      <c r="Q20" s="6">
        <f t="shared" si="6"/>
        <v>300</v>
      </c>
      <c r="R20" s="6" cm="1">
        <f t="array" ref="R20">IF(I20-LOOKUP(I20, $Y$4:$Y$26) &lt;= 0.1, LOOKUP(I20, $Y$4:$Y$26), MIN(_xlfn._xlws.FILTER($Y$4:$Y$26, $Y$4:$Y$26&gt;=I20)))</f>
        <v>10</v>
      </c>
      <c r="S20" s="6" cm="1">
        <f t="array" ref="S20">IF(J20-LOOKUP(J20, $Y$4:$Y$26) &lt;= 0.1, LOOKUP(J20, $Y$4:$Y$26), MIN(_xlfn._xlws.FILTER($Y$4:$Y$26, $Y$4:$Y$26&gt;=J20)))</f>
        <v>28</v>
      </c>
      <c r="Y20">
        <v>40</v>
      </c>
    </row>
    <row r="21" spans="1:25" x14ac:dyDescent="0.25">
      <c r="A21">
        <v>800</v>
      </c>
      <c r="B21" s="11">
        <f t="shared" si="1"/>
        <v>168</v>
      </c>
      <c r="C21" s="11" t="str">
        <f t="shared" si="2"/>
        <v>I 800X168</v>
      </c>
      <c r="D21" s="5" t="s">
        <v>101</v>
      </c>
      <c r="E21" s="5" t="str">
        <f t="shared" si="3"/>
        <v>I - 810 x 275 x 10 x 25</v>
      </c>
      <c r="F21" s="25">
        <v>168</v>
      </c>
      <c r="G21" s="6">
        <v>810</v>
      </c>
      <c r="H21" s="6">
        <v>275</v>
      </c>
      <c r="I21" s="6">
        <v>10</v>
      </c>
      <c r="J21" s="6">
        <v>25</v>
      </c>
      <c r="K21" s="6">
        <v>760</v>
      </c>
      <c r="L21" s="6">
        <f t="shared" si="0"/>
        <v>21350</v>
      </c>
      <c r="N21" s="5" t="str">
        <f t="shared" si="4"/>
        <v>I - 810 x 275 x 10 x 25</v>
      </c>
      <c r="O21" s="25">
        <f t="shared" si="5"/>
        <v>167.5975</v>
      </c>
      <c r="P21" s="6">
        <f t="shared" si="6"/>
        <v>810</v>
      </c>
      <c r="Q21" s="6">
        <f t="shared" si="6"/>
        <v>275</v>
      </c>
      <c r="R21" s="6" cm="1">
        <f t="array" ref="R21">IF(I21-LOOKUP(I21, $Y$4:$Y$26) &lt;= 0.1, LOOKUP(I21, $Y$4:$Y$26), MIN(_xlfn._xlws.FILTER($Y$4:$Y$26, $Y$4:$Y$26&gt;=I21)))</f>
        <v>10</v>
      </c>
      <c r="S21" s="6" cm="1">
        <f t="array" ref="S21">IF(J21-LOOKUP(J21, $Y$4:$Y$26) &lt;= 0.1, LOOKUP(J21, $Y$4:$Y$26), MIN(_xlfn._xlws.FILTER($Y$4:$Y$26, $Y$4:$Y$26&gt;=J21)))</f>
        <v>25</v>
      </c>
      <c r="Y21">
        <v>45</v>
      </c>
    </row>
    <row r="22" spans="1:25" x14ac:dyDescent="0.25">
      <c r="A22">
        <v>800</v>
      </c>
      <c r="B22" s="11">
        <f t="shared" si="1"/>
        <v>146</v>
      </c>
      <c r="C22" s="11" t="str">
        <f t="shared" si="2"/>
        <v>I 800X146</v>
      </c>
      <c r="D22" s="5" t="s">
        <v>102</v>
      </c>
      <c r="E22" s="5" t="str">
        <f t="shared" si="3"/>
        <v>I - 800 x 275 x 10 x 20</v>
      </c>
      <c r="F22" s="25">
        <v>146</v>
      </c>
      <c r="G22" s="6">
        <v>800</v>
      </c>
      <c r="H22" s="6">
        <v>275</v>
      </c>
      <c r="I22" s="6">
        <v>10</v>
      </c>
      <c r="J22" s="6">
        <v>20</v>
      </c>
      <c r="K22" s="6">
        <v>760</v>
      </c>
      <c r="L22" s="6">
        <f t="shared" si="0"/>
        <v>18600</v>
      </c>
      <c r="N22" s="5" t="str">
        <f t="shared" si="4"/>
        <v>I - 800 x 275 x 10 x 20</v>
      </c>
      <c r="O22" s="25">
        <f t="shared" si="5"/>
        <v>146.01</v>
      </c>
      <c r="P22" s="6">
        <f t="shared" si="6"/>
        <v>800</v>
      </c>
      <c r="Q22" s="6">
        <f t="shared" si="6"/>
        <v>275</v>
      </c>
      <c r="R22" s="6" cm="1">
        <f t="array" ref="R22">IF(I22-LOOKUP(I22, $Y$4:$Y$26) &lt;= 0.1, LOOKUP(I22, $Y$4:$Y$26), MIN(_xlfn._xlws.FILTER($Y$4:$Y$26, $Y$4:$Y$26&gt;=I22)))</f>
        <v>10</v>
      </c>
      <c r="S22" s="6" cm="1">
        <f t="array" ref="S22">IF(J22-LOOKUP(J22, $Y$4:$Y$26) &lt;= 0.1, LOOKUP(J22, $Y$4:$Y$26), MIN(_xlfn._xlws.FILTER($Y$4:$Y$26, $Y$4:$Y$26&gt;=J22)))</f>
        <v>20</v>
      </c>
      <c r="Y22">
        <v>50</v>
      </c>
    </row>
    <row r="23" spans="1:25" x14ac:dyDescent="0.25">
      <c r="A23">
        <v>800</v>
      </c>
      <c r="B23" s="11">
        <f t="shared" si="1"/>
        <v>122</v>
      </c>
      <c r="C23" s="11" t="str">
        <f t="shared" si="2"/>
        <v>I 800X122</v>
      </c>
      <c r="D23" s="5" t="s">
        <v>103</v>
      </c>
      <c r="E23" s="5" t="str">
        <f t="shared" si="3"/>
        <v>I - 792 x 250 x 10 x 16</v>
      </c>
      <c r="F23" s="25">
        <v>122</v>
      </c>
      <c r="G23" s="6">
        <v>792</v>
      </c>
      <c r="H23" s="6">
        <v>250</v>
      </c>
      <c r="I23" s="6">
        <v>10</v>
      </c>
      <c r="J23" s="6">
        <v>16</v>
      </c>
      <c r="K23" s="6">
        <v>760</v>
      </c>
      <c r="L23" s="6">
        <f t="shared" si="0"/>
        <v>15600</v>
      </c>
      <c r="N23" s="5" t="str">
        <f t="shared" si="4"/>
        <v>I - 792 x 250 x 10 x 16</v>
      </c>
      <c r="O23" s="25">
        <f t="shared" si="5"/>
        <v>122.46</v>
      </c>
      <c r="P23" s="6">
        <f t="shared" si="6"/>
        <v>792</v>
      </c>
      <c r="Q23" s="6">
        <f t="shared" si="6"/>
        <v>250</v>
      </c>
      <c r="R23" s="6" cm="1">
        <f t="array" ref="R23">IF(I23-LOOKUP(I23, $Y$4:$Y$26) &lt;= 0.1, LOOKUP(I23, $Y$4:$Y$26), MIN(_xlfn._xlws.FILTER($Y$4:$Y$26, $Y$4:$Y$26&gt;=I23)))</f>
        <v>10</v>
      </c>
      <c r="S23" s="6" cm="1">
        <f t="array" ref="S23">IF(J23-LOOKUP(J23, $Y$4:$Y$26) &lt;= 0.1, LOOKUP(J23, $Y$4:$Y$26), MIN(_xlfn._xlws.FILTER($Y$4:$Y$26, $Y$4:$Y$26&gt;=J23)))</f>
        <v>16</v>
      </c>
      <c r="Y23">
        <v>60</v>
      </c>
    </row>
    <row r="24" spans="1:25" x14ac:dyDescent="0.25">
      <c r="A24">
        <v>700</v>
      </c>
      <c r="B24" s="11">
        <f t="shared" si="1"/>
        <v>173</v>
      </c>
      <c r="C24" s="11" t="str">
        <f t="shared" si="2"/>
        <v>I 700X173</v>
      </c>
      <c r="D24" s="5" t="s">
        <v>104</v>
      </c>
      <c r="E24" s="5" t="str">
        <f t="shared" si="3"/>
        <v>I - 716 x 275 x 10 x 28</v>
      </c>
      <c r="F24" s="25">
        <v>173</v>
      </c>
      <c r="G24" s="6">
        <v>716</v>
      </c>
      <c r="H24" s="6">
        <v>275</v>
      </c>
      <c r="I24" s="6">
        <v>10</v>
      </c>
      <c r="J24" s="6">
        <v>28</v>
      </c>
      <c r="K24" s="6">
        <v>660</v>
      </c>
      <c r="L24" s="6">
        <f t="shared" si="0"/>
        <v>22000</v>
      </c>
      <c r="N24" s="5" t="str">
        <f t="shared" si="4"/>
        <v>I - 716 x 275 x 10 x 28</v>
      </c>
      <c r="O24" s="25">
        <f t="shared" si="5"/>
        <v>172.7</v>
      </c>
      <c r="P24" s="6">
        <f t="shared" si="6"/>
        <v>716</v>
      </c>
      <c r="Q24" s="6">
        <f t="shared" si="6"/>
        <v>275</v>
      </c>
      <c r="R24" s="6" cm="1">
        <f t="array" ref="R24">IF(I24-LOOKUP(I24, $Y$4:$Y$26) &lt;= 0.1, LOOKUP(I24, $Y$4:$Y$26), MIN(_xlfn._xlws.FILTER($Y$4:$Y$26, $Y$4:$Y$26&gt;=I24)))</f>
        <v>10</v>
      </c>
      <c r="S24" s="6" cm="1">
        <f t="array" ref="S24">IF(J24-LOOKUP(J24, $Y$4:$Y$26) &lt;= 0.1, LOOKUP(J24, $Y$4:$Y$26), MIN(_xlfn._xlws.FILTER($Y$4:$Y$26, $Y$4:$Y$26&gt;=J24)))</f>
        <v>28</v>
      </c>
      <c r="Y24">
        <v>70</v>
      </c>
    </row>
    <row r="25" spans="1:25" x14ac:dyDescent="0.25">
      <c r="A25">
        <v>700</v>
      </c>
      <c r="B25" s="11">
        <f t="shared" si="1"/>
        <v>150</v>
      </c>
      <c r="C25" s="11" t="str">
        <f t="shared" si="2"/>
        <v>I 700X150</v>
      </c>
      <c r="D25" s="5" t="s">
        <v>105</v>
      </c>
      <c r="E25" s="5" t="str">
        <f t="shared" si="3"/>
        <v>I - 710 x 250 x 10 x 25</v>
      </c>
      <c r="F25" s="25">
        <v>150</v>
      </c>
      <c r="G25" s="6">
        <v>710</v>
      </c>
      <c r="H25" s="6">
        <v>250</v>
      </c>
      <c r="I25" s="6">
        <v>10</v>
      </c>
      <c r="J25" s="6">
        <v>25</v>
      </c>
      <c r="K25" s="6">
        <v>660</v>
      </c>
      <c r="L25" s="6">
        <f t="shared" si="0"/>
        <v>19100</v>
      </c>
      <c r="N25" s="5" t="str">
        <f t="shared" si="4"/>
        <v>I - 710 x 250 x 10 x 25</v>
      </c>
      <c r="O25" s="25">
        <f t="shared" si="5"/>
        <v>149.935</v>
      </c>
      <c r="P25" s="6">
        <f t="shared" si="6"/>
        <v>710</v>
      </c>
      <c r="Q25" s="6">
        <f t="shared" si="6"/>
        <v>250</v>
      </c>
      <c r="R25" s="6" cm="1">
        <f t="array" ref="R25">IF(I25-LOOKUP(I25, $Y$4:$Y$26) &lt;= 0.1, LOOKUP(I25, $Y$4:$Y$26), MIN(_xlfn._xlws.FILTER($Y$4:$Y$26, $Y$4:$Y$26&gt;=I25)))</f>
        <v>10</v>
      </c>
      <c r="S25" s="6" cm="1">
        <f t="array" ref="S25">IF(J25-LOOKUP(J25, $Y$4:$Y$26) &lt;= 0.1, LOOKUP(J25, $Y$4:$Y$26), MIN(_xlfn._xlws.FILTER($Y$4:$Y$26, $Y$4:$Y$26&gt;=J25)))</f>
        <v>25</v>
      </c>
      <c r="Y25">
        <v>80</v>
      </c>
    </row>
    <row r="26" spans="1:25" x14ac:dyDescent="0.25">
      <c r="A26">
        <v>700</v>
      </c>
      <c r="B26" s="11">
        <f t="shared" si="1"/>
        <v>130</v>
      </c>
      <c r="C26" s="11" t="str">
        <f t="shared" si="2"/>
        <v>I 700X130</v>
      </c>
      <c r="D26" s="5" t="s">
        <v>106</v>
      </c>
      <c r="E26" s="5" t="str">
        <f t="shared" si="3"/>
        <v>I - 700 x 250 x 10 x 20</v>
      </c>
      <c r="F26" s="25">
        <v>130</v>
      </c>
      <c r="G26" s="6">
        <v>700</v>
      </c>
      <c r="H26" s="6">
        <v>250</v>
      </c>
      <c r="I26" s="6">
        <v>10</v>
      </c>
      <c r="J26" s="6">
        <v>20</v>
      </c>
      <c r="K26" s="6">
        <v>660</v>
      </c>
      <c r="L26" s="6">
        <f t="shared" si="0"/>
        <v>16600</v>
      </c>
      <c r="N26" s="5" t="str">
        <f t="shared" si="4"/>
        <v>I - 700 x 250 x 10 x 20</v>
      </c>
      <c r="O26" s="25">
        <f t="shared" si="5"/>
        <v>130.31</v>
      </c>
      <c r="P26" s="6">
        <f t="shared" si="6"/>
        <v>700</v>
      </c>
      <c r="Q26" s="6">
        <f t="shared" si="6"/>
        <v>250</v>
      </c>
      <c r="R26" s="6" cm="1">
        <f t="array" ref="R26">IF(I26-LOOKUP(I26, $Y$4:$Y$26) &lt;= 0.1, LOOKUP(I26, $Y$4:$Y$26), MIN(_xlfn._xlws.FILTER($Y$4:$Y$26, $Y$4:$Y$26&gt;=I26)))</f>
        <v>10</v>
      </c>
      <c r="S26" s="6" cm="1">
        <f t="array" ref="S26">IF(J26-LOOKUP(J26, $Y$4:$Y$26) &lt;= 0.1, LOOKUP(J26, $Y$4:$Y$26), MIN(_xlfn._xlws.FILTER($Y$4:$Y$26, $Y$4:$Y$26&gt;=J26)))</f>
        <v>20</v>
      </c>
      <c r="Y26">
        <v>90</v>
      </c>
    </row>
    <row r="27" spans="1:25" x14ac:dyDescent="0.25">
      <c r="A27">
        <v>700</v>
      </c>
      <c r="B27" s="11">
        <f t="shared" si="1"/>
        <v>115</v>
      </c>
      <c r="C27" s="11" t="str">
        <f t="shared" si="2"/>
        <v>I 700X115</v>
      </c>
      <c r="D27" s="5" t="s">
        <v>107</v>
      </c>
      <c r="E27" s="5" t="str">
        <f t="shared" si="3"/>
        <v>I - 692 x 250 x 10 x 16</v>
      </c>
      <c r="F27" s="25">
        <v>115</v>
      </c>
      <c r="G27" s="6">
        <v>692</v>
      </c>
      <c r="H27" s="6">
        <v>250</v>
      </c>
      <c r="I27" s="6">
        <v>10</v>
      </c>
      <c r="J27" s="6">
        <v>16</v>
      </c>
      <c r="K27" s="6">
        <v>660</v>
      </c>
      <c r="L27" s="6">
        <f t="shared" si="0"/>
        <v>14600</v>
      </c>
      <c r="N27" s="5" t="str">
        <f t="shared" si="4"/>
        <v>I - 692 x 250 x 10 x 16</v>
      </c>
      <c r="O27" s="25">
        <f t="shared" si="5"/>
        <v>114.61</v>
      </c>
      <c r="P27" s="6">
        <f t="shared" si="6"/>
        <v>692</v>
      </c>
      <c r="Q27" s="6">
        <f t="shared" si="6"/>
        <v>250</v>
      </c>
      <c r="R27" s="6" cm="1">
        <f t="array" ref="R27">IF(I27-LOOKUP(I27, $Y$4:$Y$26) &lt;= 0.1, LOOKUP(I27, $Y$4:$Y$26), MIN(_xlfn._xlws.FILTER($Y$4:$Y$26, $Y$4:$Y$26&gt;=I27)))</f>
        <v>10</v>
      </c>
      <c r="S27" s="6" cm="1">
        <f t="array" ref="S27">IF(J27-LOOKUP(J27, $Y$4:$Y$26) &lt;= 0.1, LOOKUP(J27, $Y$4:$Y$26), MIN(_xlfn._xlws.FILTER($Y$4:$Y$26, $Y$4:$Y$26&gt;=J27)))</f>
        <v>16</v>
      </c>
    </row>
    <row r="28" spans="1:25" x14ac:dyDescent="0.25">
      <c r="A28">
        <v>500</v>
      </c>
      <c r="B28" s="11">
        <f t="shared" si="1"/>
        <v>440</v>
      </c>
      <c r="C28" s="11" t="str">
        <f t="shared" si="2"/>
        <v>I 500X440</v>
      </c>
      <c r="D28" s="5" t="s">
        <v>108</v>
      </c>
      <c r="E28" s="5" t="str">
        <f t="shared" si="3"/>
        <v>H - 480 x 500 x 40 x 40</v>
      </c>
      <c r="F28" s="25">
        <v>440</v>
      </c>
      <c r="G28" s="6">
        <v>480</v>
      </c>
      <c r="H28" s="6">
        <v>500</v>
      </c>
      <c r="I28" s="6">
        <v>40</v>
      </c>
      <c r="J28" s="6">
        <v>40</v>
      </c>
      <c r="K28" s="6">
        <v>400</v>
      </c>
      <c r="L28" s="6">
        <f t="shared" si="0"/>
        <v>56000</v>
      </c>
      <c r="N28" s="5" t="str">
        <f t="shared" si="4"/>
        <v>H - 480 x 500 x 40 x 40</v>
      </c>
      <c r="O28" s="25">
        <f t="shared" si="5"/>
        <v>439.6</v>
      </c>
      <c r="P28" s="6">
        <f t="shared" si="6"/>
        <v>480</v>
      </c>
      <c r="Q28" s="6">
        <f t="shared" si="6"/>
        <v>500</v>
      </c>
      <c r="R28" s="6" cm="1">
        <f t="array" ref="R28">IF(I28-LOOKUP(I28, $Y$4:$Y$26) &lt;= 0.1, LOOKUP(I28, $Y$4:$Y$26), MIN(_xlfn._xlws.FILTER($Y$4:$Y$26, $Y$4:$Y$26&gt;=I28)))</f>
        <v>40</v>
      </c>
      <c r="S28" s="6" cm="1">
        <f t="array" ref="S28">IF(J28-LOOKUP(J28, $Y$4:$Y$26) &lt;= 0.1, LOOKUP(J28, $Y$4:$Y$26), MIN(_xlfn._xlws.FILTER($Y$4:$Y$26, $Y$4:$Y$26&gt;=J28)))</f>
        <v>40</v>
      </c>
    </row>
    <row r="29" spans="1:25" x14ac:dyDescent="0.25">
      <c r="A29">
        <v>500</v>
      </c>
      <c r="B29" s="11">
        <f t="shared" si="1"/>
        <v>414</v>
      </c>
      <c r="C29" s="11" t="str">
        <f t="shared" si="2"/>
        <v>I 500X414</v>
      </c>
      <c r="D29" s="5" t="s">
        <v>109</v>
      </c>
      <c r="E29" s="5" t="str">
        <f t="shared" si="3"/>
        <v>H - 480 x 500 x 32 x 40</v>
      </c>
      <c r="F29" s="25">
        <v>414</v>
      </c>
      <c r="G29" s="6">
        <v>480</v>
      </c>
      <c r="H29" s="6">
        <v>500</v>
      </c>
      <c r="I29" s="6">
        <v>32</v>
      </c>
      <c r="J29" s="6">
        <v>40</v>
      </c>
      <c r="K29" s="6">
        <v>400</v>
      </c>
      <c r="L29" s="6">
        <f t="shared" si="0"/>
        <v>52800</v>
      </c>
      <c r="N29" s="5" t="str">
        <f t="shared" si="4"/>
        <v>H - 480 x 500 x 32 x 40</v>
      </c>
      <c r="O29" s="25">
        <f t="shared" si="5"/>
        <v>414.48</v>
      </c>
      <c r="P29" s="6">
        <f t="shared" si="6"/>
        <v>480</v>
      </c>
      <c r="Q29" s="6">
        <f t="shared" si="6"/>
        <v>500</v>
      </c>
      <c r="R29" s="6" cm="1">
        <f t="array" ref="R29">IF(I29-LOOKUP(I29, $Y$4:$Y$26) &lt;= 0.1, LOOKUP(I29, $Y$4:$Y$26), MIN(_xlfn._xlws.FILTER($Y$4:$Y$26, $Y$4:$Y$26&gt;=I29)))</f>
        <v>32</v>
      </c>
      <c r="S29" s="6" cm="1">
        <f t="array" ref="S29">IF(J29-LOOKUP(J29, $Y$4:$Y$26) &lt;= 0.1, LOOKUP(J29, $Y$4:$Y$26), MIN(_xlfn._xlws.FILTER($Y$4:$Y$26, $Y$4:$Y$26&gt;=J29)))</f>
        <v>40</v>
      </c>
    </row>
    <row r="30" spans="1:25" x14ac:dyDescent="0.25">
      <c r="A30">
        <v>500</v>
      </c>
      <c r="B30" s="11">
        <f t="shared" si="1"/>
        <v>383</v>
      </c>
      <c r="C30" s="11" t="str">
        <f t="shared" si="2"/>
        <v>I 500X383</v>
      </c>
      <c r="D30" s="5" t="s">
        <v>110</v>
      </c>
      <c r="E30" s="5" t="str">
        <f t="shared" si="3"/>
        <v>H - 472 x 500 x 32 x 36</v>
      </c>
      <c r="F30" s="25">
        <v>383</v>
      </c>
      <c r="G30" s="6">
        <v>472</v>
      </c>
      <c r="H30" s="6">
        <v>500</v>
      </c>
      <c r="I30" s="6">
        <v>32</v>
      </c>
      <c r="J30" s="6">
        <v>36</v>
      </c>
      <c r="K30" s="6">
        <v>400</v>
      </c>
      <c r="L30" s="6">
        <f t="shared" si="0"/>
        <v>48800</v>
      </c>
      <c r="N30" s="5" t="str">
        <f t="shared" si="4"/>
        <v>H - 472 x 500 x 32 x 40</v>
      </c>
      <c r="O30" s="25">
        <f t="shared" si="5"/>
        <v>412.47039999999998</v>
      </c>
      <c r="P30" s="6">
        <f t="shared" si="6"/>
        <v>472</v>
      </c>
      <c r="Q30" s="6">
        <f t="shared" si="6"/>
        <v>500</v>
      </c>
      <c r="R30" s="6" cm="1">
        <f t="array" ref="R30">IF(I30-LOOKUP(I30, $Y$4:$Y$26) &lt;= 0.1, LOOKUP(I30, $Y$4:$Y$26), MIN(_xlfn._xlws.FILTER($Y$4:$Y$26, $Y$4:$Y$26&gt;=I30)))</f>
        <v>32</v>
      </c>
      <c r="S30" s="6" cm="1">
        <f t="array" ref="S30">IF(J30-LOOKUP(J30, $Y$4:$Y$26) &lt;= 0.1, LOOKUP(J30, $Y$4:$Y$26), MIN(_xlfn._xlws.FILTER($Y$4:$Y$26, $Y$4:$Y$26&gt;=J30)))</f>
        <v>40</v>
      </c>
    </row>
    <row r="31" spans="1:25" x14ac:dyDescent="0.25">
      <c r="A31">
        <v>500</v>
      </c>
      <c r="B31" s="11">
        <f t="shared" si="1"/>
        <v>340</v>
      </c>
      <c r="C31" s="11" t="str">
        <f t="shared" si="2"/>
        <v>I 500X340</v>
      </c>
      <c r="D31" s="5" t="s">
        <v>111</v>
      </c>
      <c r="E31" s="5" t="str">
        <f t="shared" si="3"/>
        <v>H - 514 x 500 x 25 x 32</v>
      </c>
      <c r="F31" s="25">
        <v>340</v>
      </c>
      <c r="G31" s="6">
        <v>514</v>
      </c>
      <c r="H31" s="6">
        <v>500</v>
      </c>
      <c r="I31" s="6">
        <v>25</v>
      </c>
      <c r="J31" s="6">
        <v>32</v>
      </c>
      <c r="K31" s="6">
        <v>450</v>
      </c>
      <c r="L31" s="6">
        <f t="shared" si="0"/>
        <v>43250</v>
      </c>
      <c r="N31" s="5" t="str">
        <f t="shared" si="4"/>
        <v>H - 514 x 500 x 25 x 32</v>
      </c>
      <c r="O31" s="25">
        <f t="shared" si="5"/>
        <v>339.51249999999999</v>
      </c>
      <c r="P31" s="6">
        <f t="shared" si="6"/>
        <v>514</v>
      </c>
      <c r="Q31" s="6">
        <f t="shared" si="6"/>
        <v>500</v>
      </c>
      <c r="R31" s="6" cm="1">
        <f t="array" ref="R31">IF(I31-LOOKUP(I31, $Y$4:$Y$26) &lt;= 0.1, LOOKUP(I31, $Y$4:$Y$26), MIN(_xlfn._xlws.FILTER($Y$4:$Y$26, $Y$4:$Y$26&gt;=I31)))</f>
        <v>25</v>
      </c>
      <c r="S31" s="6" cm="1">
        <f t="array" ref="S31">IF(J31-LOOKUP(J31, $Y$4:$Y$26) &lt;= 0.1, LOOKUP(J31, $Y$4:$Y$26), MIN(_xlfn._xlws.FILTER($Y$4:$Y$26, $Y$4:$Y$26&gt;=J31)))</f>
        <v>32</v>
      </c>
    </row>
    <row r="32" spans="1:25" x14ac:dyDescent="0.25">
      <c r="A32">
        <v>500</v>
      </c>
      <c r="B32" s="11">
        <f t="shared" si="1"/>
        <v>290</v>
      </c>
      <c r="C32" s="11" t="str">
        <f t="shared" si="2"/>
        <v>I 500X290</v>
      </c>
      <c r="D32" s="5" t="s">
        <v>112</v>
      </c>
      <c r="E32" s="5" t="str">
        <f t="shared" si="3"/>
        <v>H - 506 x 500 x 20 x 28</v>
      </c>
      <c r="F32" s="25">
        <v>290</v>
      </c>
      <c r="G32" s="6">
        <v>506</v>
      </c>
      <c r="H32" s="6">
        <v>500</v>
      </c>
      <c r="I32" s="6">
        <v>20</v>
      </c>
      <c r="J32" s="6">
        <v>28</v>
      </c>
      <c r="K32" s="6">
        <v>450</v>
      </c>
      <c r="L32" s="6">
        <f t="shared" si="0"/>
        <v>37000</v>
      </c>
      <c r="N32" s="5" t="str">
        <f t="shared" si="4"/>
        <v>H - 506 x 500 x 20 x 28</v>
      </c>
      <c r="O32" s="25">
        <f t="shared" si="5"/>
        <v>290.45</v>
      </c>
      <c r="P32" s="6">
        <f t="shared" si="6"/>
        <v>506</v>
      </c>
      <c r="Q32" s="6">
        <f t="shared" si="6"/>
        <v>500</v>
      </c>
      <c r="R32" s="6" cm="1">
        <f t="array" ref="R32">IF(I32-LOOKUP(I32, $Y$4:$Y$26) &lt;= 0.1, LOOKUP(I32, $Y$4:$Y$26), MIN(_xlfn._xlws.FILTER($Y$4:$Y$26, $Y$4:$Y$26&gt;=I32)))</f>
        <v>20</v>
      </c>
      <c r="S32" s="6" cm="1">
        <f t="array" ref="S32">IF(J32-LOOKUP(J32, $Y$4:$Y$26) &lt;= 0.1, LOOKUP(J32, $Y$4:$Y$26), MIN(_xlfn._xlws.FILTER($Y$4:$Y$26, $Y$4:$Y$26&gt;=J32)))</f>
        <v>28</v>
      </c>
    </row>
    <row r="33" spans="1:19" x14ac:dyDescent="0.25">
      <c r="A33">
        <v>500</v>
      </c>
      <c r="B33" s="11">
        <f t="shared" si="1"/>
        <v>267</v>
      </c>
      <c r="C33" s="11" t="str">
        <f t="shared" si="2"/>
        <v>I 500X267</v>
      </c>
      <c r="D33" s="5" t="s">
        <v>113</v>
      </c>
      <c r="E33" s="5" t="str">
        <f t="shared" si="3"/>
        <v>H - 500 x 500 x 20 x 25</v>
      </c>
      <c r="F33" s="25">
        <v>267</v>
      </c>
      <c r="G33" s="6">
        <v>500</v>
      </c>
      <c r="H33" s="6">
        <v>500</v>
      </c>
      <c r="I33" s="6">
        <v>20</v>
      </c>
      <c r="J33" s="6">
        <v>25</v>
      </c>
      <c r="K33" s="6">
        <v>450</v>
      </c>
      <c r="L33" s="6">
        <f t="shared" si="0"/>
        <v>34000</v>
      </c>
      <c r="N33" s="5" t="str">
        <f t="shared" si="4"/>
        <v>H - 500 x 500 x 20 x 25</v>
      </c>
      <c r="O33" s="25">
        <f t="shared" si="5"/>
        <v>266.89999999999998</v>
      </c>
      <c r="P33" s="6">
        <f t="shared" si="6"/>
        <v>500</v>
      </c>
      <c r="Q33" s="6">
        <f t="shared" si="6"/>
        <v>500</v>
      </c>
      <c r="R33" s="6" cm="1">
        <f t="array" ref="R33">IF(I33-LOOKUP(I33, $Y$4:$Y$26) &lt;= 0.1, LOOKUP(I33, $Y$4:$Y$26), MIN(_xlfn._xlws.FILTER($Y$4:$Y$26, $Y$4:$Y$26&gt;=I33)))</f>
        <v>20</v>
      </c>
      <c r="S33" s="6" cm="1">
        <f t="array" ref="S33">IF(J33-LOOKUP(J33, $Y$4:$Y$26) &lt;= 0.1, LOOKUP(J33, $Y$4:$Y$26), MIN(_xlfn._xlws.FILTER($Y$4:$Y$26, $Y$4:$Y$26&gt;=J33)))</f>
        <v>25</v>
      </c>
    </row>
    <row r="34" spans="1:19" x14ac:dyDescent="0.25">
      <c r="A34">
        <v>500</v>
      </c>
      <c r="B34" s="11">
        <f t="shared" si="1"/>
        <v>228</v>
      </c>
      <c r="C34" s="11" t="str">
        <f t="shared" si="2"/>
        <v>I 500X228</v>
      </c>
      <c r="D34" s="5" t="s">
        <v>114</v>
      </c>
      <c r="E34" s="5" t="str">
        <f t="shared" si="3"/>
        <v>H - 490 x 500 x 20 x 20</v>
      </c>
      <c r="F34" s="25">
        <v>228</v>
      </c>
      <c r="G34" s="6">
        <v>490</v>
      </c>
      <c r="H34" s="6">
        <v>500</v>
      </c>
      <c r="I34" s="6">
        <v>20</v>
      </c>
      <c r="J34" s="6">
        <v>20</v>
      </c>
      <c r="K34" s="6">
        <v>450</v>
      </c>
      <c r="L34" s="6">
        <f t="shared" si="0"/>
        <v>29000</v>
      </c>
      <c r="N34" s="5" t="str">
        <f t="shared" si="4"/>
        <v>H - 490 x 500 x 20 x 20</v>
      </c>
      <c r="O34" s="25">
        <f t="shared" si="5"/>
        <v>227.65</v>
      </c>
      <c r="P34" s="6">
        <f t="shared" si="6"/>
        <v>490</v>
      </c>
      <c r="Q34" s="6">
        <f t="shared" si="6"/>
        <v>500</v>
      </c>
      <c r="R34" s="6" cm="1">
        <f t="array" ref="R34">IF(I34-LOOKUP(I34, $Y$4:$Y$26) &lt;= 0.1, LOOKUP(I34, $Y$4:$Y$26), MIN(_xlfn._xlws.FILTER($Y$4:$Y$26, $Y$4:$Y$26&gt;=I34)))</f>
        <v>20</v>
      </c>
      <c r="S34" s="6" cm="1">
        <f t="array" ref="S34">IF(J34-LOOKUP(J34, $Y$4:$Y$26) &lt;= 0.1, LOOKUP(J34, $Y$4:$Y$26), MIN(_xlfn._xlws.FILTER($Y$4:$Y$26, $Y$4:$Y$26&gt;=J34)))</f>
        <v>20</v>
      </c>
    </row>
    <row r="35" spans="1:19" x14ac:dyDescent="0.25">
      <c r="A35">
        <v>400</v>
      </c>
      <c r="B35" s="11">
        <f t="shared" si="1"/>
        <v>361</v>
      </c>
      <c r="C35" s="11" t="str">
        <f t="shared" si="2"/>
        <v>I 400X361</v>
      </c>
      <c r="D35" s="5" t="s">
        <v>115</v>
      </c>
      <c r="E35" s="5" t="str">
        <f t="shared" si="3"/>
        <v>H - 430 x 400 x 40 x 40</v>
      </c>
      <c r="F35" s="25">
        <v>361</v>
      </c>
      <c r="G35" s="6">
        <v>430</v>
      </c>
      <c r="H35" s="6">
        <v>400</v>
      </c>
      <c r="I35" s="6">
        <v>40</v>
      </c>
      <c r="J35" s="6">
        <v>40</v>
      </c>
      <c r="K35" s="6">
        <v>350</v>
      </c>
      <c r="L35" s="6">
        <f t="shared" si="0"/>
        <v>46000</v>
      </c>
      <c r="N35" s="5" t="str">
        <f t="shared" si="4"/>
        <v>H - 430 x 400 x 40 x 40</v>
      </c>
      <c r="O35" s="25">
        <f t="shared" si="5"/>
        <v>361.1</v>
      </c>
      <c r="P35" s="6">
        <f t="shared" si="6"/>
        <v>430</v>
      </c>
      <c r="Q35" s="6">
        <f t="shared" si="6"/>
        <v>400</v>
      </c>
      <c r="R35" s="6" cm="1">
        <f t="array" ref="R35">IF(I35-LOOKUP(I35, $Y$4:$Y$26) &lt;= 0.1, LOOKUP(I35, $Y$4:$Y$26), MIN(_xlfn._xlws.FILTER($Y$4:$Y$26, $Y$4:$Y$26&gt;=I35)))</f>
        <v>40</v>
      </c>
      <c r="S35" s="6" cm="1">
        <f t="array" ref="S35">IF(J35-LOOKUP(J35, $Y$4:$Y$26) &lt;= 0.1, LOOKUP(J35, $Y$4:$Y$26), MIN(_xlfn._xlws.FILTER($Y$4:$Y$26, $Y$4:$Y$26&gt;=J35)))</f>
        <v>40</v>
      </c>
    </row>
    <row r="36" spans="1:19" x14ac:dyDescent="0.25">
      <c r="A36">
        <v>400</v>
      </c>
      <c r="B36" s="11">
        <f t="shared" si="1"/>
        <v>328</v>
      </c>
      <c r="C36" s="11" t="str">
        <f t="shared" si="2"/>
        <v>I 400X328</v>
      </c>
      <c r="D36" s="5" t="s">
        <v>116</v>
      </c>
      <c r="E36" s="5" t="str">
        <f t="shared" si="3"/>
        <v>H - 430 x 400 x 28 x 40</v>
      </c>
      <c r="F36" s="25">
        <v>328</v>
      </c>
      <c r="G36" s="6">
        <v>430</v>
      </c>
      <c r="H36" s="6">
        <v>400</v>
      </c>
      <c r="I36" s="6">
        <v>28</v>
      </c>
      <c r="J36" s="6">
        <v>40</v>
      </c>
      <c r="K36" s="6">
        <v>350</v>
      </c>
      <c r="L36" s="6">
        <f t="shared" si="0"/>
        <v>41800</v>
      </c>
      <c r="N36" s="5" t="str">
        <f t="shared" si="4"/>
        <v>H - 430 x 400 x 28 x 40</v>
      </c>
      <c r="O36" s="25">
        <f t="shared" si="5"/>
        <v>328.13</v>
      </c>
      <c r="P36" s="6">
        <f t="shared" si="6"/>
        <v>430</v>
      </c>
      <c r="Q36" s="6">
        <f t="shared" si="6"/>
        <v>400</v>
      </c>
      <c r="R36" s="6" cm="1">
        <f t="array" ref="R36">IF(I36-LOOKUP(I36, $Y$4:$Y$26) &lt;= 0.1, LOOKUP(I36, $Y$4:$Y$26), MIN(_xlfn._xlws.FILTER($Y$4:$Y$26, $Y$4:$Y$26&gt;=I36)))</f>
        <v>28</v>
      </c>
      <c r="S36" s="6" cm="1">
        <f t="array" ref="S36">IF(J36-LOOKUP(J36, $Y$4:$Y$26) &lt;= 0.1, LOOKUP(J36, $Y$4:$Y$26), MIN(_xlfn._xlws.FILTER($Y$4:$Y$26, $Y$4:$Y$26&gt;=J36)))</f>
        <v>40</v>
      </c>
    </row>
    <row r="37" spans="1:19" x14ac:dyDescent="0.25">
      <c r="A37">
        <v>400</v>
      </c>
      <c r="B37" s="11">
        <f t="shared" si="1"/>
        <v>303</v>
      </c>
      <c r="C37" s="11" t="str">
        <f t="shared" si="2"/>
        <v>I 400X303</v>
      </c>
      <c r="D37" s="5" t="s">
        <v>117</v>
      </c>
      <c r="E37" s="5" t="str">
        <f t="shared" si="3"/>
        <v>H - 422 x 400 x 28 x 36</v>
      </c>
      <c r="F37" s="25">
        <v>303</v>
      </c>
      <c r="G37" s="6">
        <v>422</v>
      </c>
      <c r="H37" s="6">
        <v>400</v>
      </c>
      <c r="I37" s="6">
        <v>28</v>
      </c>
      <c r="J37" s="6">
        <v>36</v>
      </c>
      <c r="K37" s="6">
        <v>350</v>
      </c>
      <c r="L37" s="6">
        <f t="shared" si="0"/>
        <v>38600</v>
      </c>
      <c r="N37" s="5" t="str">
        <f t="shared" si="4"/>
        <v>H - 422 x 400 x 28 x 40</v>
      </c>
      <c r="O37" s="25">
        <f t="shared" si="5"/>
        <v>326.3716</v>
      </c>
      <c r="P37" s="6">
        <f t="shared" si="6"/>
        <v>422</v>
      </c>
      <c r="Q37" s="6">
        <f t="shared" si="6"/>
        <v>400</v>
      </c>
      <c r="R37" s="6" cm="1">
        <f t="array" ref="R37">IF(I37-LOOKUP(I37, $Y$4:$Y$26) &lt;= 0.1, LOOKUP(I37, $Y$4:$Y$26), MIN(_xlfn._xlws.FILTER($Y$4:$Y$26, $Y$4:$Y$26&gt;=I37)))</f>
        <v>28</v>
      </c>
      <c r="S37" s="6" cm="1">
        <f t="array" ref="S37">IF(J37-LOOKUP(J37, $Y$4:$Y$26) &lt;= 0.1, LOOKUP(J37, $Y$4:$Y$26), MIN(_xlfn._xlws.FILTER($Y$4:$Y$26, $Y$4:$Y$26&gt;=J37)))</f>
        <v>40</v>
      </c>
    </row>
    <row r="38" spans="1:19" x14ac:dyDescent="0.25">
      <c r="A38">
        <v>400</v>
      </c>
      <c r="B38" s="11">
        <f t="shared" si="1"/>
        <v>270</v>
      </c>
      <c r="C38" s="11" t="str">
        <f t="shared" si="2"/>
        <v>I 400X270</v>
      </c>
      <c r="D38" s="5" t="s">
        <v>118</v>
      </c>
      <c r="E38" s="5" t="str">
        <f t="shared" si="3"/>
        <v>H - 414 x 400 x 25 x 32</v>
      </c>
      <c r="F38" s="25">
        <v>270</v>
      </c>
      <c r="G38" s="6">
        <v>414</v>
      </c>
      <c r="H38" s="6">
        <v>400</v>
      </c>
      <c r="I38" s="6">
        <v>25</v>
      </c>
      <c r="J38" s="6">
        <v>32</v>
      </c>
      <c r="K38" s="6">
        <v>350</v>
      </c>
      <c r="L38" s="6">
        <f t="shared" si="0"/>
        <v>34350</v>
      </c>
      <c r="N38" s="5" t="str">
        <f t="shared" si="4"/>
        <v>H - 414 x 400 x 25 x 32</v>
      </c>
      <c r="O38" s="25">
        <f t="shared" si="5"/>
        <v>269.64749999999998</v>
      </c>
      <c r="P38" s="6">
        <f t="shared" si="6"/>
        <v>414</v>
      </c>
      <c r="Q38" s="6">
        <f t="shared" si="6"/>
        <v>400</v>
      </c>
      <c r="R38" s="6" cm="1">
        <f t="array" ref="R38">IF(I38-LOOKUP(I38, $Y$4:$Y$26) &lt;= 0.1, LOOKUP(I38, $Y$4:$Y$26), MIN(_xlfn._xlws.FILTER($Y$4:$Y$26, $Y$4:$Y$26&gt;=I38)))</f>
        <v>25</v>
      </c>
      <c r="S38" s="6" cm="1">
        <f t="array" ref="S38">IF(J38-LOOKUP(J38, $Y$4:$Y$26) &lt;= 0.1, LOOKUP(J38, $Y$4:$Y$26), MIN(_xlfn._xlws.FILTER($Y$4:$Y$26, $Y$4:$Y$26&gt;=J38)))</f>
        <v>32</v>
      </c>
    </row>
    <row r="39" spans="1:19" x14ac:dyDescent="0.25">
      <c r="A39">
        <v>400</v>
      </c>
      <c r="B39" s="11">
        <f t="shared" si="1"/>
        <v>212</v>
      </c>
      <c r="C39" s="11" t="str">
        <f t="shared" si="2"/>
        <v>I 400X212</v>
      </c>
      <c r="D39" s="5" t="s">
        <v>119</v>
      </c>
      <c r="E39" s="5" t="str">
        <f t="shared" si="3"/>
        <v>H - 400 x 400 x 20 x 25</v>
      </c>
      <c r="F39" s="25">
        <v>212</v>
      </c>
      <c r="G39" s="6">
        <v>400</v>
      </c>
      <c r="H39" s="6">
        <v>400</v>
      </c>
      <c r="I39" s="6">
        <v>20</v>
      </c>
      <c r="J39" s="6">
        <v>25</v>
      </c>
      <c r="K39" s="6">
        <v>350</v>
      </c>
      <c r="L39" s="6">
        <f t="shared" si="0"/>
        <v>27000</v>
      </c>
      <c r="N39" s="5" t="str">
        <f t="shared" si="4"/>
        <v>H - 400 x 400 x 20 x 25</v>
      </c>
      <c r="O39" s="25">
        <f t="shared" si="5"/>
        <v>211.95</v>
      </c>
      <c r="P39" s="6">
        <f t="shared" si="6"/>
        <v>400</v>
      </c>
      <c r="Q39" s="6">
        <f t="shared" si="6"/>
        <v>400</v>
      </c>
      <c r="R39" s="6" cm="1">
        <f t="array" ref="R39">IF(I39-LOOKUP(I39, $Y$4:$Y$26) &lt;= 0.1, LOOKUP(I39, $Y$4:$Y$26), MIN(_xlfn._xlws.FILTER($Y$4:$Y$26, $Y$4:$Y$26&gt;=I39)))</f>
        <v>20</v>
      </c>
      <c r="S39" s="6" cm="1">
        <f t="array" ref="S39">IF(J39-LOOKUP(J39, $Y$4:$Y$26) &lt;= 0.1, LOOKUP(J39, $Y$4:$Y$26), MIN(_xlfn._xlws.FILTER($Y$4:$Y$26, $Y$4:$Y$26&gt;=J39)))</f>
        <v>25</v>
      </c>
    </row>
    <row r="40" spans="1:19" x14ac:dyDescent="0.25">
      <c r="A40">
        <v>400</v>
      </c>
      <c r="B40" s="11">
        <f t="shared" si="1"/>
        <v>181</v>
      </c>
      <c r="C40" s="11" t="str">
        <f t="shared" si="2"/>
        <v>I 400X181</v>
      </c>
      <c r="D40" s="5" t="s">
        <v>120</v>
      </c>
      <c r="E40" s="5" t="str">
        <f t="shared" si="3"/>
        <v>H - 390 x 400 x 20 x 20</v>
      </c>
      <c r="F40" s="25">
        <v>181</v>
      </c>
      <c r="G40" s="6">
        <v>390</v>
      </c>
      <c r="H40" s="6">
        <v>400</v>
      </c>
      <c r="I40" s="6">
        <v>20</v>
      </c>
      <c r="J40" s="6">
        <v>20</v>
      </c>
      <c r="K40" s="6">
        <v>350</v>
      </c>
      <c r="L40" s="6">
        <f t="shared" si="0"/>
        <v>23000</v>
      </c>
      <c r="N40" s="5" t="str">
        <f t="shared" si="4"/>
        <v>H - 390 x 400 x 20 x 20</v>
      </c>
      <c r="O40" s="25">
        <f t="shared" si="5"/>
        <v>180.55</v>
      </c>
      <c r="P40" s="6">
        <f t="shared" si="6"/>
        <v>390</v>
      </c>
      <c r="Q40" s="6">
        <f t="shared" si="6"/>
        <v>400</v>
      </c>
      <c r="R40" s="6" cm="1">
        <f t="array" ref="R40">IF(I40-LOOKUP(I40, $Y$4:$Y$26) &lt;= 0.1, LOOKUP(I40, $Y$4:$Y$26), MIN(_xlfn._xlws.FILTER($Y$4:$Y$26, $Y$4:$Y$26&gt;=I40)))</f>
        <v>20</v>
      </c>
      <c r="S40" s="6" cm="1">
        <f t="array" ref="S40">IF(J40-LOOKUP(J40, $Y$4:$Y$26) &lt;= 0.1, LOOKUP(J40, $Y$4:$Y$26), MIN(_xlfn._xlws.FILTER($Y$4:$Y$26, $Y$4:$Y$26&gt;=J40)))</f>
        <v>20</v>
      </c>
    </row>
    <row r="41" spans="1:19" x14ac:dyDescent="0.25">
      <c r="A41">
        <v>400</v>
      </c>
      <c r="B41" s="11">
        <f t="shared" si="1"/>
        <v>144</v>
      </c>
      <c r="C41" s="11" t="str">
        <f t="shared" si="2"/>
        <v>I 400X144</v>
      </c>
      <c r="D41" s="5" t="s">
        <v>121</v>
      </c>
      <c r="E41" s="5" t="str">
        <f t="shared" si="3"/>
        <v>H - 382 x 400 x 16 x 16</v>
      </c>
      <c r="F41" s="25">
        <v>144</v>
      </c>
      <c r="G41" s="6">
        <v>382</v>
      </c>
      <c r="H41" s="6">
        <v>400</v>
      </c>
      <c r="I41" s="6">
        <v>16</v>
      </c>
      <c r="J41" s="6">
        <v>16</v>
      </c>
      <c r="K41" s="6">
        <v>350</v>
      </c>
      <c r="L41" s="6">
        <f t="shared" si="0"/>
        <v>18400</v>
      </c>
      <c r="N41" s="5" t="str">
        <f t="shared" si="4"/>
        <v>H - 382 x 400 x 16 x 16</v>
      </c>
      <c r="O41" s="25">
        <f t="shared" si="5"/>
        <v>144.44</v>
      </c>
      <c r="P41" s="6">
        <f t="shared" si="6"/>
        <v>382</v>
      </c>
      <c r="Q41" s="6">
        <f t="shared" si="6"/>
        <v>400</v>
      </c>
      <c r="R41" s="6" cm="1">
        <f t="array" ref="R41">IF(I41-LOOKUP(I41, $Y$4:$Y$26) &lt;= 0.1, LOOKUP(I41, $Y$4:$Y$26), MIN(_xlfn._xlws.FILTER($Y$4:$Y$26, $Y$4:$Y$26&gt;=I41)))</f>
        <v>16</v>
      </c>
      <c r="S41" s="6" cm="1">
        <f t="array" ref="S41">IF(J41-LOOKUP(J41, $Y$4:$Y$26) &lt;= 0.1, LOOKUP(J41, $Y$4:$Y$26), MIN(_xlfn._xlws.FILTER($Y$4:$Y$26, $Y$4:$Y$26&gt;=J41)))</f>
        <v>16</v>
      </c>
    </row>
    <row r="42" spans="1:19" x14ac:dyDescent="0.25">
      <c r="A42">
        <v>350</v>
      </c>
      <c r="B42" s="11">
        <f t="shared" si="1"/>
        <v>280</v>
      </c>
      <c r="C42" s="11" t="str">
        <f t="shared" si="2"/>
        <v>I 350X280</v>
      </c>
      <c r="D42" s="5" t="s">
        <v>122</v>
      </c>
      <c r="E42" s="5" t="str">
        <f t="shared" si="3"/>
        <v>H - 355 x 350 x 28 x 40</v>
      </c>
      <c r="F42" s="25">
        <v>280</v>
      </c>
      <c r="G42" s="6">
        <v>355</v>
      </c>
      <c r="H42" s="6">
        <v>350</v>
      </c>
      <c r="I42" s="6">
        <v>28</v>
      </c>
      <c r="J42" s="6">
        <v>40</v>
      </c>
      <c r="K42" s="6">
        <v>275</v>
      </c>
      <c r="L42" s="6">
        <f t="shared" si="0"/>
        <v>35700</v>
      </c>
      <c r="N42" s="5" t="str">
        <f t="shared" si="4"/>
        <v>H - 355 x 350 x 28 x 40</v>
      </c>
      <c r="O42" s="25">
        <f t="shared" si="5"/>
        <v>280.245</v>
      </c>
      <c r="P42" s="6">
        <f t="shared" si="6"/>
        <v>355</v>
      </c>
      <c r="Q42" s="6">
        <f t="shared" si="6"/>
        <v>350</v>
      </c>
      <c r="R42" s="6" cm="1">
        <f t="array" ref="R42">IF(I42-LOOKUP(I42, $Y$4:$Y$26) &lt;= 0.1, LOOKUP(I42, $Y$4:$Y$26), MIN(_xlfn._xlws.FILTER($Y$4:$Y$26, $Y$4:$Y$26&gt;=I42)))</f>
        <v>28</v>
      </c>
      <c r="S42" s="6" cm="1">
        <f t="array" ref="S42">IF(J42-LOOKUP(J42, $Y$4:$Y$26) &lt;= 0.1, LOOKUP(J42, $Y$4:$Y$26), MIN(_xlfn._xlws.FILTER($Y$4:$Y$26, $Y$4:$Y$26&gt;=J42)))</f>
        <v>40</v>
      </c>
    </row>
    <row r="43" spans="1:19" x14ac:dyDescent="0.25">
      <c r="A43">
        <v>350</v>
      </c>
      <c r="B43" s="11">
        <f t="shared" si="1"/>
        <v>258</v>
      </c>
      <c r="C43" s="11" t="str">
        <f t="shared" si="2"/>
        <v>I 350X258</v>
      </c>
      <c r="D43" s="5" t="s">
        <v>123</v>
      </c>
      <c r="E43" s="5" t="str">
        <f t="shared" si="3"/>
        <v>H - 347 x 350 x 28 x 36</v>
      </c>
      <c r="F43" s="25">
        <v>258</v>
      </c>
      <c r="G43" s="6">
        <v>347</v>
      </c>
      <c r="H43" s="6">
        <v>350</v>
      </c>
      <c r="I43" s="6">
        <v>28</v>
      </c>
      <c r="J43" s="6">
        <v>36</v>
      </c>
      <c r="K43" s="6">
        <v>275</v>
      </c>
      <c r="L43" s="6">
        <f t="shared" si="0"/>
        <v>32900</v>
      </c>
      <c r="N43" s="5" t="str">
        <f t="shared" si="4"/>
        <v>H - 347 x 350 x 28 x 40</v>
      </c>
      <c r="O43" s="25">
        <f t="shared" si="5"/>
        <v>278.48660000000001</v>
      </c>
      <c r="P43" s="6">
        <f t="shared" si="6"/>
        <v>347</v>
      </c>
      <c r="Q43" s="6">
        <f t="shared" si="6"/>
        <v>350</v>
      </c>
      <c r="R43" s="6" cm="1">
        <f t="array" ref="R43">IF(I43-LOOKUP(I43, $Y$4:$Y$26) &lt;= 0.1, LOOKUP(I43, $Y$4:$Y$26), MIN(_xlfn._xlws.FILTER($Y$4:$Y$26, $Y$4:$Y$26&gt;=I43)))</f>
        <v>28</v>
      </c>
      <c r="S43" s="6" cm="1">
        <f t="array" ref="S43">IF(J43-LOOKUP(J43, $Y$4:$Y$26) &lt;= 0.1, LOOKUP(J43, $Y$4:$Y$26), MIN(_xlfn._xlws.FILTER($Y$4:$Y$26, $Y$4:$Y$26&gt;=J43)))</f>
        <v>40</v>
      </c>
    </row>
    <row r="44" spans="1:19" x14ac:dyDescent="0.25">
      <c r="A44">
        <v>350</v>
      </c>
      <c r="B44" s="11">
        <f t="shared" si="1"/>
        <v>230</v>
      </c>
      <c r="C44" s="11" t="str">
        <f t="shared" si="2"/>
        <v>I 350X230</v>
      </c>
      <c r="D44" s="5" t="s">
        <v>124</v>
      </c>
      <c r="E44" s="5" t="str">
        <f t="shared" si="3"/>
        <v>H - 339 x 350 x 25 x 32</v>
      </c>
      <c r="F44" s="25">
        <v>230</v>
      </c>
      <c r="G44" s="6">
        <v>339</v>
      </c>
      <c r="H44" s="6">
        <v>350</v>
      </c>
      <c r="I44" s="6">
        <v>25</v>
      </c>
      <c r="J44" s="6">
        <v>32</v>
      </c>
      <c r="K44" s="6">
        <v>275</v>
      </c>
      <c r="L44" s="6">
        <f t="shared" si="0"/>
        <v>29275</v>
      </c>
      <c r="N44" s="5" t="str">
        <f t="shared" si="4"/>
        <v>H - 339 x 350 x 25 x 32</v>
      </c>
      <c r="O44" s="25">
        <f t="shared" si="5"/>
        <v>229.80875</v>
      </c>
      <c r="P44" s="6">
        <f t="shared" si="6"/>
        <v>339</v>
      </c>
      <c r="Q44" s="6">
        <f t="shared" si="6"/>
        <v>350</v>
      </c>
      <c r="R44" s="6" cm="1">
        <f t="array" ref="R44">IF(I44-LOOKUP(I44, $Y$4:$Y$26) &lt;= 0.1, LOOKUP(I44, $Y$4:$Y$26), MIN(_xlfn._xlws.FILTER($Y$4:$Y$26, $Y$4:$Y$26&gt;=I44)))</f>
        <v>25</v>
      </c>
      <c r="S44" s="6" cm="1">
        <f t="array" ref="S44">IF(J44-LOOKUP(J44, $Y$4:$Y$26) &lt;= 0.1, LOOKUP(J44, $Y$4:$Y$26), MIN(_xlfn._xlws.FILTER($Y$4:$Y$26, $Y$4:$Y$26&gt;=J44)))</f>
        <v>32</v>
      </c>
    </row>
    <row r="45" spans="1:19" x14ac:dyDescent="0.25">
      <c r="A45">
        <v>350</v>
      </c>
      <c r="B45" s="11">
        <f t="shared" si="1"/>
        <v>197</v>
      </c>
      <c r="C45" s="11" t="str">
        <f t="shared" si="2"/>
        <v>I 350X197</v>
      </c>
      <c r="D45" s="5" t="s">
        <v>125</v>
      </c>
      <c r="E45" s="5" t="str">
        <f t="shared" si="3"/>
        <v>H - 331 x 350 x 20 x 28</v>
      </c>
      <c r="F45" s="25">
        <v>197</v>
      </c>
      <c r="G45" s="6">
        <v>331</v>
      </c>
      <c r="H45" s="6">
        <v>350</v>
      </c>
      <c r="I45" s="6">
        <v>20</v>
      </c>
      <c r="J45" s="6">
        <v>28</v>
      </c>
      <c r="K45" s="6">
        <v>275</v>
      </c>
      <c r="L45" s="6">
        <f t="shared" si="0"/>
        <v>25100</v>
      </c>
      <c r="N45" s="5" t="str">
        <f t="shared" si="4"/>
        <v>H - 331 x 350 x 20 x 28</v>
      </c>
      <c r="O45" s="25">
        <f t="shared" si="5"/>
        <v>197.035</v>
      </c>
      <c r="P45" s="6">
        <f t="shared" si="6"/>
        <v>331</v>
      </c>
      <c r="Q45" s="6">
        <f t="shared" si="6"/>
        <v>350</v>
      </c>
      <c r="R45" s="6" cm="1">
        <f t="array" ref="R45">IF(I45-LOOKUP(I45, $Y$4:$Y$26) &lt;= 0.1, LOOKUP(I45, $Y$4:$Y$26), MIN(_xlfn._xlws.FILTER($Y$4:$Y$26, $Y$4:$Y$26&gt;=I45)))</f>
        <v>20</v>
      </c>
      <c r="S45" s="6" cm="1">
        <f t="array" ref="S45">IF(J45-LOOKUP(J45, $Y$4:$Y$26) &lt;= 0.1, LOOKUP(J45, $Y$4:$Y$26), MIN(_xlfn._xlws.FILTER($Y$4:$Y$26, $Y$4:$Y$26&gt;=J45)))</f>
        <v>28</v>
      </c>
    </row>
    <row r="46" spans="1:19" x14ac:dyDescent="0.25">
      <c r="A46">
        <v>610</v>
      </c>
      <c r="B46" s="11">
        <f t="shared" si="1"/>
        <v>125</v>
      </c>
      <c r="C46" s="11" t="str">
        <f t="shared" si="2"/>
        <v>I 610X125</v>
      </c>
      <c r="D46" s="5" t="s">
        <v>126</v>
      </c>
      <c r="E46" s="5" t="str">
        <f t="shared" si="3"/>
        <v>I - 611.6 x 229 x 11.9 x 19.6</v>
      </c>
      <c r="F46" s="25">
        <v>125</v>
      </c>
      <c r="G46" s="6">
        <v>611.6</v>
      </c>
      <c r="H46" s="6">
        <v>229</v>
      </c>
      <c r="I46" s="6">
        <v>11.9</v>
      </c>
      <c r="J46" s="6">
        <v>19.600000000000001</v>
      </c>
      <c r="K46" s="6">
        <v>572.4</v>
      </c>
      <c r="L46" s="6">
        <v>16000</v>
      </c>
      <c r="N46" s="5" t="str">
        <f t="shared" si="4"/>
        <v>I - 612 x 229 x 12 x 20</v>
      </c>
      <c r="O46" s="25">
        <f t="shared" si="5"/>
        <v>125.7884</v>
      </c>
      <c r="P46" s="6">
        <f t="shared" si="6"/>
        <v>612</v>
      </c>
      <c r="Q46" s="6">
        <f t="shared" si="6"/>
        <v>229</v>
      </c>
      <c r="R46" s="6" cm="1">
        <f t="array" ref="R46">IF(I46-LOOKUP(I46, $Y$4:$Y$26) &lt;= 0.1, LOOKUP(I46, $Y$4:$Y$26), MIN(_xlfn._xlws.FILTER($Y$4:$Y$26, $Y$4:$Y$26&gt;=I46)))</f>
        <v>12</v>
      </c>
      <c r="S46" s="6" cm="1">
        <f t="array" ref="S46">IF(J46-LOOKUP(J46, $Y$4:$Y$26) &lt;= 0.1, LOOKUP(J46, $Y$4:$Y$26), MIN(_xlfn._xlws.FILTER($Y$4:$Y$26, $Y$4:$Y$26&gt;=J46)))</f>
        <v>20</v>
      </c>
    </row>
    <row r="47" spans="1:19" x14ac:dyDescent="0.25">
      <c r="A47">
        <v>610</v>
      </c>
      <c r="B47" s="11">
        <f t="shared" si="1"/>
        <v>113</v>
      </c>
      <c r="C47" s="11" t="str">
        <f t="shared" si="2"/>
        <v>I 610X113</v>
      </c>
      <c r="D47" s="5" t="s">
        <v>127</v>
      </c>
      <c r="E47" s="5" t="str">
        <f t="shared" si="3"/>
        <v>I - 607 x 228 x 11.2 x 17.3</v>
      </c>
      <c r="F47" s="25">
        <v>113</v>
      </c>
      <c r="G47" s="6">
        <v>607</v>
      </c>
      <c r="H47" s="6">
        <v>228</v>
      </c>
      <c r="I47" s="6">
        <v>11.2</v>
      </c>
      <c r="J47" s="6">
        <v>17.3</v>
      </c>
      <c r="K47" s="6">
        <v>572.4</v>
      </c>
      <c r="L47" s="6">
        <v>14500</v>
      </c>
      <c r="N47" s="5" t="str">
        <f t="shared" si="4"/>
        <v>I - 607 x 228 x 12 x 18</v>
      </c>
      <c r="O47" s="25">
        <f t="shared" si="5"/>
        <v>118.221</v>
      </c>
      <c r="P47" s="6">
        <f t="shared" si="6"/>
        <v>607</v>
      </c>
      <c r="Q47" s="6">
        <f t="shared" si="6"/>
        <v>228</v>
      </c>
      <c r="R47" s="6" cm="1">
        <f t="array" ref="R47">IF(I47-LOOKUP(I47, $Y$4:$Y$26) &lt;= 0.1, LOOKUP(I47, $Y$4:$Y$26), MIN(_xlfn._xlws.FILTER($Y$4:$Y$26, $Y$4:$Y$26&gt;=I47)))</f>
        <v>12</v>
      </c>
      <c r="S47" s="6" cm="1">
        <f t="array" ref="S47">IF(J47-LOOKUP(J47, $Y$4:$Y$26) &lt;= 0.1, LOOKUP(J47, $Y$4:$Y$26), MIN(_xlfn._xlws.FILTER($Y$4:$Y$26, $Y$4:$Y$26&gt;=J47)))</f>
        <v>18</v>
      </c>
    </row>
    <row r="48" spans="1:19" x14ac:dyDescent="0.25">
      <c r="A48">
        <v>610</v>
      </c>
      <c r="B48" s="11">
        <f t="shared" si="1"/>
        <v>101</v>
      </c>
      <c r="C48" s="11" t="str">
        <f t="shared" si="2"/>
        <v>I 610X101</v>
      </c>
      <c r="D48" s="5" t="s">
        <v>128</v>
      </c>
      <c r="E48" s="5" t="str">
        <f t="shared" si="3"/>
        <v>I - 602 x 228 x 10.6 x 14.8</v>
      </c>
      <c r="F48" s="25">
        <v>101</v>
      </c>
      <c r="G48" s="6">
        <v>602</v>
      </c>
      <c r="H48" s="6">
        <v>228</v>
      </c>
      <c r="I48" s="6">
        <v>10.6</v>
      </c>
      <c r="J48" s="6">
        <v>14.8</v>
      </c>
      <c r="K48" s="6">
        <v>572.4</v>
      </c>
      <c r="L48" s="6">
        <v>13000</v>
      </c>
      <c r="N48" s="5" t="str">
        <f t="shared" si="4"/>
        <v>I - 602 x 228 x 12 x 16</v>
      </c>
      <c r="O48" s="25">
        <f t="shared" si="5"/>
        <v>110.9676</v>
      </c>
      <c r="P48" s="6">
        <f t="shared" si="6"/>
        <v>602</v>
      </c>
      <c r="Q48" s="6">
        <f t="shared" si="6"/>
        <v>228</v>
      </c>
      <c r="R48" s="6" cm="1">
        <f t="array" ref="R48">IF(I48-LOOKUP(I48, $Y$4:$Y$26) &lt;= 0.1, LOOKUP(I48, $Y$4:$Y$26), MIN(_xlfn._xlws.FILTER($Y$4:$Y$26, $Y$4:$Y$26&gt;=I48)))</f>
        <v>12</v>
      </c>
      <c r="S48" s="6" cm="1">
        <f t="array" ref="S48">IF(J48-LOOKUP(J48, $Y$4:$Y$26) &lt;= 0.1, LOOKUP(J48, $Y$4:$Y$26), MIN(_xlfn._xlws.FILTER($Y$4:$Y$26, $Y$4:$Y$26&gt;=J48)))</f>
        <v>16</v>
      </c>
    </row>
    <row r="49" spans="1:19" x14ac:dyDescent="0.25">
      <c r="A49">
        <v>530</v>
      </c>
      <c r="B49" s="11">
        <f t="shared" si="1"/>
        <v>92</v>
      </c>
      <c r="C49" s="11" t="str">
        <f t="shared" si="2"/>
        <v>I 530X92</v>
      </c>
      <c r="D49" s="5" t="s">
        <v>129</v>
      </c>
      <c r="E49" s="5" t="str">
        <f t="shared" si="3"/>
        <v>I - 533 x 209 x 10.2 x 15.6</v>
      </c>
      <c r="F49" s="25">
        <v>92.4</v>
      </c>
      <c r="G49" s="6">
        <v>533</v>
      </c>
      <c r="H49" s="6">
        <v>209</v>
      </c>
      <c r="I49" s="6">
        <v>10.199999999999999</v>
      </c>
      <c r="J49" s="6">
        <v>15.6</v>
      </c>
      <c r="K49" s="6">
        <v>501.8</v>
      </c>
      <c r="L49" s="6">
        <v>11800</v>
      </c>
      <c r="N49" s="5" t="str">
        <f t="shared" si="4"/>
        <v>I - 533 x 209 x 12 x 16</v>
      </c>
      <c r="O49" s="25">
        <f t="shared" si="5"/>
        <v>99.694999999999993</v>
      </c>
      <c r="P49" s="6">
        <f t="shared" si="6"/>
        <v>533</v>
      </c>
      <c r="Q49" s="6">
        <f t="shared" si="6"/>
        <v>209</v>
      </c>
      <c r="R49" s="6" cm="1">
        <f t="array" ref="R49">IF(I49-LOOKUP(I49, $Y$4:$Y$26) &lt;= 0.1, LOOKUP(I49, $Y$4:$Y$26), MIN(_xlfn._xlws.FILTER($Y$4:$Y$26, $Y$4:$Y$26&gt;=I49)))</f>
        <v>12</v>
      </c>
      <c r="S49" s="6" cm="1">
        <f t="array" ref="S49">IF(J49-LOOKUP(J49, $Y$4:$Y$26) &lt;= 0.1, LOOKUP(J49, $Y$4:$Y$26), MIN(_xlfn._xlws.FILTER($Y$4:$Y$26, $Y$4:$Y$26&gt;=J49)))</f>
        <v>16</v>
      </c>
    </row>
    <row r="50" spans="1:19" x14ac:dyDescent="0.25">
      <c r="A50">
        <v>530</v>
      </c>
      <c r="B50" s="11">
        <f t="shared" si="1"/>
        <v>82</v>
      </c>
      <c r="C50" s="11" t="str">
        <f t="shared" si="2"/>
        <v>I 530X82</v>
      </c>
      <c r="D50" s="5" t="s">
        <v>130</v>
      </c>
      <c r="E50" s="5" t="str">
        <f t="shared" si="3"/>
        <v>I - 528.2 x 209 x 9.6 x 13.2</v>
      </c>
      <c r="F50" s="25">
        <v>82</v>
      </c>
      <c r="G50" s="6">
        <v>528.20000000000005</v>
      </c>
      <c r="H50" s="6">
        <v>209</v>
      </c>
      <c r="I50" s="6">
        <v>9.6</v>
      </c>
      <c r="J50" s="6">
        <v>13.2</v>
      </c>
      <c r="K50" s="6">
        <v>501.80000000000007</v>
      </c>
      <c r="L50" s="6">
        <v>10500</v>
      </c>
      <c r="N50" s="5" t="str">
        <f t="shared" si="4"/>
        <v>I - 528 x 209 x 10 x 14</v>
      </c>
      <c r="O50" s="25">
        <f t="shared" si="5"/>
        <v>85.188199999999995</v>
      </c>
      <c r="P50" s="6">
        <f t="shared" si="6"/>
        <v>528</v>
      </c>
      <c r="Q50" s="6">
        <f t="shared" si="6"/>
        <v>209</v>
      </c>
      <c r="R50" s="6" cm="1">
        <f t="array" ref="R50">IF(I50-LOOKUP(I50, $Y$4:$Y$26) &lt;= 0.1, LOOKUP(I50, $Y$4:$Y$26), MIN(_xlfn._xlws.FILTER($Y$4:$Y$26, $Y$4:$Y$26&gt;=I50)))</f>
        <v>10</v>
      </c>
      <c r="S50" s="6" cm="1">
        <f t="array" ref="S50">IF(J50-LOOKUP(J50, $Y$4:$Y$26) &lt;= 0.1, LOOKUP(J50, $Y$4:$Y$26), MIN(_xlfn._xlws.FILTER($Y$4:$Y$26, $Y$4:$Y$26&gt;=J50)))</f>
        <v>14</v>
      </c>
    </row>
    <row r="51" spans="1:19" x14ac:dyDescent="0.25">
      <c r="A51">
        <v>460</v>
      </c>
      <c r="B51" s="11">
        <f t="shared" si="1"/>
        <v>82</v>
      </c>
      <c r="C51" s="11" t="str">
        <f t="shared" si="2"/>
        <v>I 460X82</v>
      </c>
      <c r="D51" s="5" t="s">
        <v>131</v>
      </c>
      <c r="E51" s="5" t="str">
        <f t="shared" si="3"/>
        <v>I - 460.4 x 191 x 9.9 x 16</v>
      </c>
      <c r="F51" s="25">
        <v>82.1</v>
      </c>
      <c r="G51" s="6">
        <v>460.4</v>
      </c>
      <c r="H51" s="6">
        <v>191</v>
      </c>
      <c r="I51" s="6">
        <v>9.9</v>
      </c>
      <c r="J51" s="6">
        <v>16</v>
      </c>
      <c r="K51" s="6">
        <v>428.4</v>
      </c>
      <c r="L51" s="6">
        <v>10500</v>
      </c>
      <c r="N51" s="5" t="str">
        <f t="shared" si="4"/>
        <v>I - 460 x 191 x 10 x 16</v>
      </c>
      <c r="O51" s="25">
        <f t="shared" si="5"/>
        <v>81.577200000000005</v>
      </c>
      <c r="P51" s="6">
        <f t="shared" si="6"/>
        <v>460</v>
      </c>
      <c r="Q51" s="6">
        <f t="shared" si="6"/>
        <v>191</v>
      </c>
      <c r="R51" s="6" cm="1">
        <f t="array" ref="R51">IF(I51-LOOKUP(I51, $Y$4:$Y$26) &lt;= 0.1, LOOKUP(I51, $Y$4:$Y$26), MIN(_xlfn._xlws.FILTER($Y$4:$Y$26, $Y$4:$Y$26&gt;=I51)))</f>
        <v>10</v>
      </c>
      <c r="S51" s="6" cm="1">
        <f t="array" ref="S51">IF(J51-LOOKUP(J51, $Y$4:$Y$26) &lt;= 0.1, LOOKUP(J51, $Y$4:$Y$26), MIN(_xlfn._xlws.FILTER($Y$4:$Y$26, $Y$4:$Y$26&gt;=J51)))</f>
        <v>16</v>
      </c>
    </row>
    <row r="52" spans="1:19" x14ac:dyDescent="0.25">
      <c r="A52">
        <v>460</v>
      </c>
      <c r="B52" s="11">
        <f t="shared" si="1"/>
        <v>75</v>
      </c>
      <c r="C52" s="11" t="str">
        <f t="shared" si="2"/>
        <v>I 460X75</v>
      </c>
      <c r="D52" s="5" t="s">
        <v>132</v>
      </c>
      <c r="E52" s="5" t="str">
        <f t="shared" si="3"/>
        <v>I - 457.4 x 190 x 9.1 x 14.5</v>
      </c>
      <c r="F52" s="25">
        <v>74.599999999999994</v>
      </c>
      <c r="G52" s="6">
        <v>457.4</v>
      </c>
      <c r="H52" s="6">
        <v>190</v>
      </c>
      <c r="I52" s="6">
        <v>9.1</v>
      </c>
      <c r="J52" s="6">
        <v>14.5</v>
      </c>
      <c r="K52" s="6">
        <v>428.4</v>
      </c>
      <c r="L52" s="6">
        <v>9520</v>
      </c>
      <c r="N52" s="5" t="str">
        <f t="shared" si="4"/>
        <v>I - 457 x 190 x 10 x 16</v>
      </c>
      <c r="O52" s="25">
        <f t="shared" si="5"/>
        <v>81.090500000000006</v>
      </c>
      <c r="P52" s="6">
        <f t="shared" si="6"/>
        <v>457</v>
      </c>
      <c r="Q52" s="6">
        <f t="shared" si="6"/>
        <v>190</v>
      </c>
      <c r="R52" s="6" cm="1">
        <f t="array" ref="R52">IF(I52-LOOKUP(I52, $Y$4:$Y$26) &lt;= 0.1, LOOKUP(I52, $Y$4:$Y$26), MIN(_xlfn._xlws.FILTER($Y$4:$Y$26, $Y$4:$Y$26&gt;=I52)))</f>
        <v>10</v>
      </c>
      <c r="S52" s="6" cm="1">
        <f t="array" ref="S52">IF(J52-LOOKUP(J52, $Y$4:$Y$26) &lt;= 0.1, LOOKUP(J52, $Y$4:$Y$26), MIN(_xlfn._xlws.FILTER($Y$4:$Y$26, $Y$4:$Y$26&gt;=J52)))</f>
        <v>16</v>
      </c>
    </row>
    <row r="53" spans="1:19" x14ac:dyDescent="0.25">
      <c r="A53">
        <v>460</v>
      </c>
      <c r="B53" s="11">
        <f t="shared" si="1"/>
        <v>67</v>
      </c>
      <c r="C53" s="11" t="str">
        <f t="shared" si="2"/>
        <v>I 460X67</v>
      </c>
      <c r="D53" s="5" t="s">
        <v>133</v>
      </c>
      <c r="E53" s="5" t="str">
        <f t="shared" si="3"/>
        <v>I - 453.8 x 190 x 8.5 x 12.7</v>
      </c>
      <c r="F53" s="25">
        <v>67.099999999999994</v>
      </c>
      <c r="G53" s="6">
        <v>453.8</v>
      </c>
      <c r="H53" s="6">
        <v>190</v>
      </c>
      <c r="I53" s="6">
        <v>8.5</v>
      </c>
      <c r="J53" s="6">
        <v>12.7</v>
      </c>
      <c r="K53" s="6">
        <v>428.40000000000003</v>
      </c>
      <c r="L53" s="6">
        <v>8580</v>
      </c>
      <c r="N53" s="5" t="str">
        <f t="shared" si="4"/>
        <v>I - 454 x 190 x 10 x 14</v>
      </c>
      <c r="O53" s="25">
        <f t="shared" si="5"/>
        <v>75.203000000000003</v>
      </c>
      <c r="P53" s="6">
        <f t="shared" si="6"/>
        <v>454</v>
      </c>
      <c r="Q53" s="6">
        <f t="shared" si="6"/>
        <v>190</v>
      </c>
      <c r="R53" s="6" cm="1">
        <f t="array" ref="R53">IF(I53-LOOKUP(I53, $Y$4:$Y$26) &lt;= 0.1, LOOKUP(I53, $Y$4:$Y$26), MIN(_xlfn._xlws.FILTER($Y$4:$Y$26, $Y$4:$Y$26&gt;=I53)))</f>
        <v>10</v>
      </c>
      <c r="S53" s="6" cm="1">
        <f t="array" ref="S53">IF(J53-LOOKUP(J53, $Y$4:$Y$26) &lt;= 0.1, LOOKUP(J53, $Y$4:$Y$26), MIN(_xlfn._xlws.FILTER($Y$4:$Y$26, $Y$4:$Y$26&gt;=J53)))</f>
        <v>14</v>
      </c>
    </row>
    <row r="54" spans="1:19" x14ac:dyDescent="0.25">
      <c r="A54">
        <v>410</v>
      </c>
      <c r="B54" s="11">
        <f t="shared" si="1"/>
        <v>60</v>
      </c>
      <c r="C54" s="11" t="str">
        <f t="shared" si="2"/>
        <v>I 410X60</v>
      </c>
      <c r="D54" s="5" t="s">
        <v>134</v>
      </c>
      <c r="E54" s="5" t="str">
        <f t="shared" si="3"/>
        <v>I - 406.4 x 178 x 7.8 x 12.8</v>
      </c>
      <c r="F54" s="25">
        <v>59.7</v>
      </c>
      <c r="G54" s="6">
        <v>406.4</v>
      </c>
      <c r="H54" s="6">
        <v>178</v>
      </c>
      <c r="I54" s="6">
        <v>7.8</v>
      </c>
      <c r="J54" s="6">
        <v>12.8</v>
      </c>
      <c r="K54" s="6">
        <v>380.79999999999995</v>
      </c>
      <c r="L54" s="6">
        <v>7640</v>
      </c>
      <c r="N54" s="5" t="str">
        <f t="shared" si="4"/>
        <v>I - 406 x 178 x 8 x 14</v>
      </c>
      <c r="O54" s="25">
        <f t="shared" si="5"/>
        <v>62.8628</v>
      </c>
      <c r="P54" s="6">
        <f t="shared" si="6"/>
        <v>406</v>
      </c>
      <c r="Q54" s="6">
        <f t="shared" si="6"/>
        <v>178</v>
      </c>
      <c r="R54" s="6" cm="1">
        <f t="array" ref="R54">IF(I54-LOOKUP(I54, $Y$4:$Y$26) &lt;= 0.1, LOOKUP(I54, $Y$4:$Y$26), MIN(_xlfn._xlws.FILTER($Y$4:$Y$26, $Y$4:$Y$26&gt;=I54)))</f>
        <v>8</v>
      </c>
      <c r="S54" s="6" cm="1">
        <f t="array" ref="S54">IF(J54-LOOKUP(J54, $Y$4:$Y$26) &lt;= 0.1, LOOKUP(J54, $Y$4:$Y$26), MIN(_xlfn._xlws.FILTER($Y$4:$Y$26, $Y$4:$Y$26&gt;=J54)))</f>
        <v>14</v>
      </c>
    </row>
    <row r="55" spans="1:19" x14ac:dyDescent="0.25">
      <c r="A55">
        <v>410</v>
      </c>
      <c r="B55" s="11">
        <f t="shared" si="1"/>
        <v>54</v>
      </c>
      <c r="C55" s="11" t="str">
        <f t="shared" si="2"/>
        <v>I 410X54</v>
      </c>
      <c r="D55" s="5" t="s">
        <v>135</v>
      </c>
      <c r="E55" s="5" t="str">
        <f t="shared" si="3"/>
        <v>I - 402.6 x 178 x 7.6 x 10.9</v>
      </c>
      <c r="F55" s="25">
        <v>53.7</v>
      </c>
      <c r="G55" s="6">
        <v>402.6</v>
      </c>
      <c r="H55" s="6">
        <v>178</v>
      </c>
      <c r="I55" s="6">
        <v>7.6</v>
      </c>
      <c r="J55" s="6">
        <v>10.9</v>
      </c>
      <c r="K55" s="6">
        <v>380.8</v>
      </c>
      <c r="L55" s="6">
        <v>6890</v>
      </c>
      <c r="N55" s="5" t="str">
        <f t="shared" si="4"/>
        <v>I - 403 x 178 x 8 x 12</v>
      </c>
      <c r="O55" s="25">
        <f t="shared" si="5"/>
        <v>57.336399999999998</v>
      </c>
      <c r="P55" s="6">
        <f t="shared" si="6"/>
        <v>403</v>
      </c>
      <c r="Q55" s="6">
        <f t="shared" si="6"/>
        <v>178</v>
      </c>
      <c r="R55" s="6" cm="1">
        <f t="array" ref="R55">IF(I55-LOOKUP(I55, $Y$4:$Y$26) &lt;= 0.1, LOOKUP(I55, $Y$4:$Y$26), MIN(_xlfn._xlws.FILTER($Y$4:$Y$26, $Y$4:$Y$26&gt;=I55)))</f>
        <v>8</v>
      </c>
      <c r="S55" s="6" cm="1">
        <f t="array" ref="S55">IF(J55-LOOKUP(J55, $Y$4:$Y$26) &lt;= 0.1, LOOKUP(J55, $Y$4:$Y$26), MIN(_xlfn._xlws.FILTER($Y$4:$Y$26, $Y$4:$Y$26&gt;=J55)))</f>
        <v>12</v>
      </c>
    </row>
    <row r="56" spans="1:19" x14ac:dyDescent="0.25">
      <c r="A56">
        <v>360</v>
      </c>
      <c r="B56" s="11">
        <f t="shared" si="1"/>
        <v>57</v>
      </c>
      <c r="C56" s="11" t="str">
        <f t="shared" si="2"/>
        <v>I 360X57</v>
      </c>
      <c r="D56" s="5" t="s">
        <v>136</v>
      </c>
      <c r="E56" s="5" t="str">
        <f t="shared" si="3"/>
        <v>I - 358.6 x 172 x 8 x 13</v>
      </c>
      <c r="F56" s="25">
        <v>56.7</v>
      </c>
      <c r="G56" s="6">
        <v>358.6</v>
      </c>
      <c r="H56" s="6">
        <v>172</v>
      </c>
      <c r="I56" s="6">
        <v>8</v>
      </c>
      <c r="J56" s="6">
        <v>13</v>
      </c>
      <c r="K56" s="6">
        <v>332.6</v>
      </c>
      <c r="L56" s="6">
        <v>7240</v>
      </c>
      <c r="N56" s="5" t="str">
        <f t="shared" si="4"/>
        <v>I - 359 x 172 x 8 x 14</v>
      </c>
      <c r="O56" s="25">
        <f t="shared" si="5"/>
        <v>58.592399999999998</v>
      </c>
      <c r="P56" s="6">
        <f t="shared" si="6"/>
        <v>359</v>
      </c>
      <c r="Q56" s="6">
        <f t="shared" si="6"/>
        <v>172</v>
      </c>
      <c r="R56" s="6" cm="1">
        <f t="array" ref="R56">IF(I56-LOOKUP(I56, $Y$4:$Y$26) &lt;= 0.1, LOOKUP(I56, $Y$4:$Y$26), MIN(_xlfn._xlws.FILTER($Y$4:$Y$26, $Y$4:$Y$26&gt;=I56)))</f>
        <v>8</v>
      </c>
      <c r="S56" s="6" cm="1">
        <f t="array" ref="S56">IF(J56-LOOKUP(J56, $Y$4:$Y$26) &lt;= 0.1, LOOKUP(J56, $Y$4:$Y$26), MIN(_xlfn._xlws.FILTER($Y$4:$Y$26, $Y$4:$Y$26&gt;=J56)))</f>
        <v>14</v>
      </c>
    </row>
    <row r="57" spans="1:19" x14ac:dyDescent="0.25">
      <c r="A57">
        <v>360</v>
      </c>
      <c r="B57" s="11">
        <f t="shared" si="1"/>
        <v>51</v>
      </c>
      <c r="C57" s="11" t="str">
        <f t="shared" si="2"/>
        <v>I 360X51</v>
      </c>
      <c r="D57" s="5" t="s">
        <v>137</v>
      </c>
      <c r="E57" s="5" t="str">
        <f t="shared" si="3"/>
        <v>I - 355.6 x 171 x 7.3 x 11.5</v>
      </c>
      <c r="F57" s="25">
        <v>50.7</v>
      </c>
      <c r="G57" s="6">
        <v>355.6</v>
      </c>
      <c r="H57" s="6">
        <v>171</v>
      </c>
      <c r="I57" s="6">
        <v>7.3</v>
      </c>
      <c r="J57" s="6">
        <v>11.5</v>
      </c>
      <c r="K57" s="6">
        <v>332.6</v>
      </c>
      <c r="L57" s="6">
        <v>6470</v>
      </c>
      <c r="N57" s="5" t="str">
        <f t="shared" si="4"/>
        <v>I - 356 x 171 x 8 x 12</v>
      </c>
      <c r="O57" s="25">
        <f t="shared" si="5"/>
        <v>53.066000000000003</v>
      </c>
      <c r="P57" s="6">
        <f t="shared" si="6"/>
        <v>356</v>
      </c>
      <c r="Q57" s="6">
        <f t="shared" si="6"/>
        <v>171</v>
      </c>
      <c r="R57" s="6" cm="1">
        <f t="array" ref="R57">IF(I57-LOOKUP(I57, $Y$4:$Y$26) &lt;= 0.1, LOOKUP(I57, $Y$4:$Y$26), MIN(_xlfn._xlws.FILTER($Y$4:$Y$26, $Y$4:$Y$26&gt;=I57)))</f>
        <v>8</v>
      </c>
      <c r="S57" s="6" cm="1">
        <f t="array" ref="S57">IF(J57-LOOKUP(J57, $Y$4:$Y$26) &lt;= 0.1, LOOKUP(J57, $Y$4:$Y$26), MIN(_xlfn._xlws.FILTER($Y$4:$Y$26, $Y$4:$Y$26&gt;=J57)))</f>
        <v>12</v>
      </c>
    </row>
    <row r="58" spans="1:19" x14ac:dyDescent="0.25">
      <c r="A58">
        <v>360</v>
      </c>
      <c r="B58" s="11">
        <f t="shared" si="1"/>
        <v>45</v>
      </c>
      <c r="C58" s="11" t="str">
        <f t="shared" si="2"/>
        <v>I 360X45</v>
      </c>
      <c r="D58" s="5" t="s">
        <v>138</v>
      </c>
      <c r="E58" s="5" t="str">
        <f t="shared" si="3"/>
        <v>I - 352 x 171 x 6.9 x 9.7</v>
      </c>
      <c r="F58" s="25">
        <v>44.7</v>
      </c>
      <c r="G58" s="6">
        <v>352</v>
      </c>
      <c r="H58" s="6">
        <v>171</v>
      </c>
      <c r="I58" s="6">
        <v>6.9</v>
      </c>
      <c r="J58" s="6">
        <v>9.6999999999999993</v>
      </c>
      <c r="K58" s="6">
        <v>332.6</v>
      </c>
      <c r="L58" s="6">
        <v>5720</v>
      </c>
      <c r="N58" s="5" t="str">
        <f t="shared" si="4"/>
        <v>I - 352 x 171 x 8 x 10</v>
      </c>
      <c r="O58" s="25">
        <f t="shared" si="5"/>
        <v>47.696599999999997</v>
      </c>
      <c r="P58" s="6">
        <f t="shared" si="6"/>
        <v>352</v>
      </c>
      <c r="Q58" s="6">
        <f t="shared" si="6"/>
        <v>171</v>
      </c>
      <c r="R58" s="6" cm="1">
        <f t="array" ref="R58">IF(I58-LOOKUP(I58, $Y$4:$Y$26) &lt;= 0.1, LOOKUP(I58, $Y$4:$Y$26), MIN(_xlfn._xlws.FILTER($Y$4:$Y$26, $Y$4:$Y$26&gt;=I58)))</f>
        <v>8</v>
      </c>
      <c r="S58" s="6" cm="1">
        <f t="array" ref="S58">IF(J58-LOOKUP(J58, $Y$4:$Y$26) &lt;= 0.1, LOOKUP(J58, $Y$4:$Y$26), MIN(_xlfn._xlws.FILTER($Y$4:$Y$26, $Y$4:$Y$26&gt;=J58)))</f>
        <v>10</v>
      </c>
    </row>
    <row r="59" spans="1:19" x14ac:dyDescent="0.25">
      <c r="A59">
        <v>310</v>
      </c>
      <c r="B59" s="11">
        <f t="shared" si="1"/>
        <v>46</v>
      </c>
      <c r="C59" s="11" t="str">
        <f t="shared" si="2"/>
        <v>I 310X46</v>
      </c>
      <c r="D59" s="5" t="s">
        <v>139</v>
      </c>
      <c r="E59" s="5" t="str">
        <f t="shared" si="3"/>
        <v>H - 307.2 x 166 x 6.7 x 11.8</v>
      </c>
      <c r="F59" s="25">
        <v>46.2</v>
      </c>
      <c r="G59" s="6">
        <v>307.2</v>
      </c>
      <c r="H59" s="6">
        <v>166</v>
      </c>
      <c r="I59" s="6">
        <v>6.7</v>
      </c>
      <c r="J59" s="6">
        <v>11.8</v>
      </c>
      <c r="K59" s="6">
        <v>283.59999999999997</v>
      </c>
      <c r="L59" s="6">
        <v>5930</v>
      </c>
      <c r="N59" s="5" t="str">
        <f t="shared" si="4"/>
        <v>H - 307 x 166 x 8 x 12</v>
      </c>
      <c r="O59" s="25">
        <f t="shared" si="5"/>
        <v>49.046799999999998</v>
      </c>
      <c r="P59" s="6">
        <f t="shared" si="6"/>
        <v>307</v>
      </c>
      <c r="Q59" s="6">
        <f t="shared" si="6"/>
        <v>166</v>
      </c>
      <c r="R59" s="6" cm="1">
        <f t="array" ref="R59">IF(I59-LOOKUP(I59, $Y$4:$Y$26) &lt;= 0.1, LOOKUP(I59, $Y$4:$Y$26), MIN(_xlfn._xlws.FILTER($Y$4:$Y$26, $Y$4:$Y$26&gt;=I59)))</f>
        <v>8</v>
      </c>
      <c r="S59" s="6" cm="1">
        <f t="array" ref="S59">IF(J59-LOOKUP(J59, $Y$4:$Y$26) &lt;= 0.1, LOOKUP(J59, $Y$4:$Y$26), MIN(_xlfn._xlws.FILTER($Y$4:$Y$26, $Y$4:$Y$26&gt;=J59)))</f>
        <v>12</v>
      </c>
    </row>
    <row r="60" spans="1:19" x14ac:dyDescent="0.25">
      <c r="A60">
        <v>310</v>
      </c>
      <c r="B60" s="11">
        <f t="shared" si="1"/>
        <v>40</v>
      </c>
      <c r="C60" s="11" t="str">
        <f t="shared" si="2"/>
        <v>I 310X40</v>
      </c>
      <c r="D60" s="5" t="s">
        <v>140</v>
      </c>
      <c r="E60" s="5" t="str">
        <f t="shared" si="3"/>
        <v>H - 304 x 165 x 6.1 x 10.2</v>
      </c>
      <c r="F60" s="25">
        <v>40.4</v>
      </c>
      <c r="G60" s="6">
        <v>304</v>
      </c>
      <c r="H60" s="6">
        <v>165</v>
      </c>
      <c r="I60" s="6">
        <v>6.1</v>
      </c>
      <c r="J60" s="6">
        <v>10.199999999999999</v>
      </c>
      <c r="K60" s="6">
        <v>283.60000000000002</v>
      </c>
      <c r="L60" s="6">
        <v>5210</v>
      </c>
      <c r="N60" s="5" t="str">
        <f t="shared" si="4"/>
        <v>H - 304 x 165 x 6 x 12</v>
      </c>
      <c r="O60" s="25">
        <f t="shared" si="5"/>
        <v>44.274000000000001</v>
      </c>
      <c r="P60" s="6">
        <f t="shared" si="6"/>
        <v>304</v>
      </c>
      <c r="Q60" s="6">
        <f t="shared" si="6"/>
        <v>165</v>
      </c>
      <c r="R60" s="6" cm="1">
        <f t="array" ref="R60">IF(I60-LOOKUP(I60, $Y$4:$Y$26) &lt;= 0.1, LOOKUP(I60, $Y$4:$Y$26), MIN(_xlfn._xlws.FILTER($Y$4:$Y$26, $Y$4:$Y$26&gt;=I60)))</f>
        <v>6</v>
      </c>
      <c r="S60" s="6" cm="1">
        <f t="array" ref="S60">IF(J60-LOOKUP(J60, $Y$4:$Y$26) &lt;= 0.1, LOOKUP(J60, $Y$4:$Y$26), MIN(_xlfn._xlws.FILTER($Y$4:$Y$26, $Y$4:$Y$26&gt;=J60)))</f>
        <v>12</v>
      </c>
    </row>
    <row r="61" spans="1:19" x14ac:dyDescent="0.25">
      <c r="A61">
        <v>310</v>
      </c>
      <c r="B61" s="11">
        <f t="shared" si="1"/>
        <v>32</v>
      </c>
      <c r="C61" s="11" t="str">
        <f t="shared" si="2"/>
        <v>I 310X32</v>
      </c>
      <c r="D61" s="5" t="s">
        <v>141</v>
      </c>
      <c r="E61" s="5" t="str">
        <f t="shared" si="3"/>
        <v>I - 298 x 149 x 5.5 x 8</v>
      </c>
      <c r="F61" s="25">
        <v>32</v>
      </c>
      <c r="G61" s="6">
        <v>298</v>
      </c>
      <c r="H61" s="6">
        <v>149</v>
      </c>
      <c r="I61" s="6">
        <v>5.5</v>
      </c>
      <c r="J61" s="6">
        <v>8</v>
      </c>
      <c r="K61" s="6">
        <v>282</v>
      </c>
      <c r="L61" s="6">
        <v>4080</v>
      </c>
      <c r="N61" s="5" t="str">
        <f t="shared" si="4"/>
        <v>I - 298 x 149 x 6 x 8</v>
      </c>
      <c r="O61" s="25">
        <f t="shared" si="5"/>
        <v>31.996600000000001</v>
      </c>
      <c r="P61" s="6">
        <f t="shared" si="6"/>
        <v>298</v>
      </c>
      <c r="Q61" s="6">
        <f t="shared" si="6"/>
        <v>149</v>
      </c>
      <c r="R61" s="6" cm="1">
        <f t="array" ref="R61">IF(I61-LOOKUP(I61, $Y$4:$Y$26) &lt;= 0.1, LOOKUP(I61, $Y$4:$Y$26), MIN(_xlfn._xlws.FILTER($Y$4:$Y$26, $Y$4:$Y$26&gt;=I61)))</f>
        <v>6</v>
      </c>
      <c r="S61" s="6" cm="1">
        <f t="array" ref="S61">IF(J61-LOOKUP(J61, $Y$4:$Y$26) &lt;= 0.1, LOOKUP(J61, $Y$4:$Y$26), MIN(_xlfn._xlws.FILTER($Y$4:$Y$26, $Y$4:$Y$26&gt;=J61)))</f>
        <v>8</v>
      </c>
    </row>
    <row r="62" spans="1:19" x14ac:dyDescent="0.25">
      <c r="A62">
        <v>250</v>
      </c>
      <c r="B62" s="11">
        <f t="shared" si="1"/>
        <v>37</v>
      </c>
      <c r="C62" s="11" t="str">
        <f t="shared" si="2"/>
        <v>I 250X37</v>
      </c>
      <c r="D62" s="5" t="s">
        <v>142</v>
      </c>
      <c r="E62" s="5" t="str">
        <f t="shared" si="3"/>
        <v>H - 256.2 x 146 x 6.4 x 10.9</v>
      </c>
      <c r="F62" s="25">
        <v>37.299999999999997</v>
      </c>
      <c r="G62" s="6">
        <v>256.2</v>
      </c>
      <c r="H62" s="6">
        <v>146</v>
      </c>
      <c r="I62" s="6">
        <v>6.4</v>
      </c>
      <c r="J62" s="6">
        <v>10.9</v>
      </c>
      <c r="K62" s="6">
        <v>234.39999999999998</v>
      </c>
      <c r="L62" s="6">
        <v>4750</v>
      </c>
      <c r="N62" s="5" t="str">
        <f t="shared" si="4"/>
        <v>H - 256 x 146 x 8 x 12</v>
      </c>
      <c r="O62" s="25">
        <f t="shared" si="5"/>
        <v>42.076000000000001</v>
      </c>
      <c r="P62" s="6">
        <f t="shared" si="6"/>
        <v>256</v>
      </c>
      <c r="Q62" s="6">
        <f t="shared" si="6"/>
        <v>146</v>
      </c>
      <c r="R62" s="6" cm="1">
        <f t="array" ref="R62">IF(I62-LOOKUP(I62, $Y$4:$Y$26) &lt;= 0.1, LOOKUP(I62, $Y$4:$Y$26), MIN(_xlfn._xlws.FILTER($Y$4:$Y$26, $Y$4:$Y$26&gt;=I62)))</f>
        <v>8</v>
      </c>
      <c r="S62" s="6" cm="1">
        <f t="array" ref="S62">IF(J62-LOOKUP(J62, $Y$4:$Y$26) &lt;= 0.1, LOOKUP(J62, $Y$4:$Y$26), MIN(_xlfn._xlws.FILTER($Y$4:$Y$26, $Y$4:$Y$26&gt;=J62)))</f>
        <v>12</v>
      </c>
    </row>
    <row r="63" spans="1:19" x14ac:dyDescent="0.25">
      <c r="A63">
        <v>250</v>
      </c>
      <c r="B63" s="11">
        <f t="shared" si="1"/>
        <v>31</v>
      </c>
      <c r="C63" s="11" t="str">
        <f t="shared" si="2"/>
        <v>I 250X31</v>
      </c>
      <c r="D63" s="5" t="s">
        <v>143</v>
      </c>
      <c r="E63" s="5" t="str">
        <f t="shared" si="3"/>
        <v>H - 251.6 x 146 x 6.1 x 8.6</v>
      </c>
      <c r="F63" s="25">
        <v>31.4</v>
      </c>
      <c r="G63" s="6">
        <v>251.6</v>
      </c>
      <c r="H63" s="6">
        <v>146</v>
      </c>
      <c r="I63" s="6">
        <v>6.1</v>
      </c>
      <c r="J63" s="6">
        <v>8.6</v>
      </c>
      <c r="K63" s="6">
        <v>234.4</v>
      </c>
      <c r="L63" s="6">
        <v>4010</v>
      </c>
      <c r="N63" s="5" t="str">
        <f t="shared" si="4"/>
        <v>H - 252 x 146 x 6 x 10</v>
      </c>
      <c r="O63" s="25">
        <f t="shared" si="5"/>
        <v>33.849200000000003</v>
      </c>
      <c r="P63" s="6">
        <f t="shared" si="6"/>
        <v>252</v>
      </c>
      <c r="Q63" s="6">
        <f t="shared" si="6"/>
        <v>146</v>
      </c>
      <c r="R63" s="6" cm="1">
        <f t="array" ref="R63">IF(I63-LOOKUP(I63, $Y$4:$Y$26) &lt;= 0.1, LOOKUP(I63, $Y$4:$Y$26), MIN(_xlfn._xlws.FILTER($Y$4:$Y$26, $Y$4:$Y$26&gt;=I63)))</f>
        <v>6</v>
      </c>
      <c r="S63" s="6" cm="1">
        <f t="array" ref="S63">IF(J63-LOOKUP(J63, $Y$4:$Y$26) &lt;= 0.1, LOOKUP(J63, $Y$4:$Y$26), MIN(_xlfn._xlws.FILTER($Y$4:$Y$26, $Y$4:$Y$26&gt;=J63)))</f>
        <v>10</v>
      </c>
    </row>
    <row r="64" spans="1:19" x14ac:dyDescent="0.25">
      <c r="A64">
        <v>250</v>
      </c>
      <c r="B64" s="11">
        <f t="shared" si="1"/>
        <v>26</v>
      </c>
      <c r="C64" s="11" t="str">
        <f t="shared" si="2"/>
        <v>I 250X26</v>
      </c>
      <c r="D64" s="5" t="s">
        <v>144</v>
      </c>
      <c r="E64" s="5" t="str">
        <f t="shared" si="3"/>
        <v>I - 248 x 124 x 5 x 8</v>
      </c>
      <c r="F64" s="25">
        <v>25.7</v>
      </c>
      <c r="G64" s="6">
        <v>248</v>
      </c>
      <c r="H64" s="6">
        <v>124</v>
      </c>
      <c r="I64" s="6">
        <v>5</v>
      </c>
      <c r="J64" s="6">
        <v>8</v>
      </c>
      <c r="K64" s="6">
        <v>232</v>
      </c>
      <c r="L64" s="6">
        <v>3270</v>
      </c>
      <c r="N64" s="5" t="str">
        <f t="shared" si="4"/>
        <v>I - 248 x 124 x 6 x 8</v>
      </c>
      <c r="O64" s="25">
        <f t="shared" si="5"/>
        <v>26.5016</v>
      </c>
      <c r="P64" s="6">
        <f t="shared" si="6"/>
        <v>248</v>
      </c>
      <c r="Q64" s="6">
        <f t="shared" si="6"/>
        <v>124</v>
      </c>
      <c r="R64" s="6" cm="1">
        <f t="array" ref="R64">IF(I64-LOOKUP(I64, $Y$4:$Y$26) &lt;= 0.1, LOOKUP(I64, $Y$4:$Y$26), MIN(_xlfn._xlws.FILTER($Y$4:$Y$26, $Y$4:$Y$26&gt;=I64)))</f>
        <v>6</v>
      </c>
      <c r="S64" s="6" cm="1">
        <f t="array" ref="S64">IF(J64-LOOKUP(J64, $Y$4:$Y$26) &lt;= 0.1, LOOKUP(J64, $Y$4:$Y$26), MIN(_xlfn._xlws.FILTER($Y$4:$Y$26, $Y$4:$Y$26&gt;=J64)))</f>
        <v>8</v>
      </c>
    </row>
    <row r="65" spans="1:19" x14ac:dyDescent="0.25">
      <c r="A65">
        <v>200</v>
      </c>
      <c r="B65" s="11">
        <f t="shared" si="1"/>
        <v>30</v>
      </c>
      <c r="C65" s="11" t="str">
        <f t="shared" si="2"/>
        <v>I 200X30</v>
      </c>
      <c r="D65" s="5" t="s">
        <v>145</v>
      </c>
      <c r="E65" s="5" t="str">
        <f t="shared" si="3"/>
        <v>H - 207 x 134 x 6.3 x 9.6</v>
      </c>
      <c r="F65" s="25">
        <v>29.8</v>
      </c>
      <c r="G65" s="6">
        <v>207</v>
      </c>
      <c r="H65" s="6">
        <v>134</v>
      </c>
      <c r="I65" s="6">
        <v>6.3</v>
      </c>
      <c r="J65" s="6">
        <v>9.6</v>
      </c>
      <c r="K65" s="6">
        <v>187.8</v>
      </c>
      <c r="L65" s="6">
        <v>3820</v>
      </c>
      <c r="N65" s="5" t="str">
        <f t="shared" si="4"/>
        <v>H - 207 x 134 x 8 x 10</v>
      </c>
      <c r="O65" s="25">
        <f t="shared" si="5"/>
        <v>32.781599999999997</v>
      </c>
      <c r="P65" s="6">
        <f t="shared" si="6"/>
        <v>207</v>
      </c>
      <c r="Q65" s="6">
        <f t="shared" si="6"/>
        <v>134</v>
      </c>
      <c r="R65" s="6" cm="1">
        <f t="array" ref="R65">IF(I65-LOOKUP(I65, $Y$4:$Y$26) &lt;= 0.1, LOOKUP(I65, $Y$4:$Y$26), MIN(_xlfn._xlws.FILTER($Y$4:$Y$26, $Y$4:$Y$26&gt;=I65)))</f>
        <v>8</v>
      </c>
      <c r="S65" s="6" cm="1">
        <f t="array" ref="S65">IF(J65-LOOKUP(J65, $Y$4:$Y$26) &lt;= 0.1, LOOKUP(J65, $Y$4:$Y$26), MIN(_xlfn._xlws.FILTER($Y$4:$Y$26, $Y$4:$Y$26&gt;=J65)))</f>
        <v>10</v>
      </c>
    </row>
    <row r="66" spans="1:19" x14ac:dyDescent="0.25">
      <c r="A66">
        <v>200</v>
      </c>
      <c r="B66" s="11">
        <f t="shared" si="1"/>
        <v>25</v>
      </c>
      <c r="C66" s="11" t="str">
        <f t="shared" si="2"/>
        <v>I 200X25</v>
      </c>
      <c r="D66" s="5" t="s">
        <v>146</v>
      </c>
      <c r="E66" s="5" t="str">
        <f t="shared" si="3"/>
        <v>H - 203.2 x 133 x 5.8 x 7.8</v>
      </c>
      <c r="F66" s="25">
        <v>25.4</v>
      </c>
      <c r="G66" s="6">
        <v>203.2</v>
      </c>
      <c r="H66" s="6">
        <v>133</v>
      </c>
      <c r="I66" s="6">
        <v>5.8</v>
      </c>
      <c r="J66" s="6">
        <v>7.8</v>
      </c>
      <c r="K66" s="6">
        <v>187.6</v>
      </c>
      <c r="L66" s="6">
        <v>3230</v>
      </c>
      <c r="N66" s="5" t="str">
        <f t="shared" si="4"/>
        <v>H - 203 x 133 x 6 x 8</v>
      </c>
      <c r="O66" s="25">
        <f t="shared" si="5"/>
        <v>25.512499999999999</v>
      </c>
      <c r="P66" s="6">
        <f t="shared" si="6"/>
        <v>203</v>
      </c>
      <c r="Q66" s="6">
        <f t="shared" si="6"/>
        <v>133</v>
      </c>
      <c r="R66" s="6" cm="1">
        <f t="array" ref="R66">IF(I66-LOOKUP(I66, $Y$4:$Y$26) &lt;= 0.1, LOOKUP(I66, $Y$4:$Y$26), MIN(_xlfn._xlws.FILTER($Y$4:$Y$26, $Y$4:$Y$26&gt;=I66)))</f>
        <v>6</v>
      </c>
      <c r="S66" s="6" cm="1">
        <f t="array" ref="S66">IF(J66-LOOKUP(J66, $Y$4:$Y$26) &lt;= 0.1, LOOKUP(J66, $Y$4:$Y$26), MIN(_xlfn._xlws.FILTER($Y$4:$Y$26, $Y$4:$Y$26&gt;=J66)))</f>
        <v>8</v>
      </c>
    </row>
    <row r="67" spans="1:19" x14ac:dyDescent="0.25">
      <c r="A67">
        <v>200</v>
      </c>
      <c r="B67" s="11">
        <f t="shared" si="1"/>
        <v>22</v>
      </c>
      <c r="C67" s="11" t="str">
        <f t="shared" si="2"/>
        <v>I 200X22</v>
      </c>
      <c r="D67" s="5" t="s">
        <v>147</v>
      </c>
      <c r="E67" s="5" t="str">
        <f t="shared" si="3"/>
        <v>H - 201.6 x 133 x 5 x 7</v>
      </c>
      <c r="F67" s="25">
        <v>22.3</v>
      </c>
      <c r="G67" s="6">
        <v>201.6</v>
      </c>
      <c r="H67" s="6">
        <v>133</v>
      </c>
      <c r="I67" s="6">
        <v>5</v>
      </c>
      <c r="J67" s="6">
        <v>7</v>
      </c>
      <c r="K67" s="6">
        <v>187.6</v>
      </c>
      <c r="L67" s="6">
        <v>2870</v>
      </c>
      <c r="N67" s="5" t="str">
        <f t="shared" si="4"/>
        <v>H - 202 x 133 x 6 x 8</v>
      </c>
      <c r="O67" s="25">
        <f t="shared" si="5"/>
        <v>25.465399999999999</v>
      </c>
      <c r="P67" s="6">
        <f t="shared" si="6"/>
        <v>202</v>
      </c>
      <c r="Q67" s="6">
        <f t="shared" si="6"/>
        <v>133</v>
      </c>
      <c r="R67" s="6" cm="1">
        <f t="array" ref="R67">IF(I67-LOOKUP(I67, $Y$4:$Y$26) &lt;= 0.1, LOOKUP(I67, $Y$4:$Y$26), MIN(_xlfn._xlws.FILTER($Y$4:$Y$26, $Y$4:$Y$26&gt;=I67)))</f>
        <v>6</v>
      </c>
      <c r="S67" s="6" cm="1">
        <f t="array" ref="S67">IF(J67-LOOKUP(J67, $Y$4:$Y$26) &lt;= 0.1, LOOKUP(J67, $Y$4:$Y$26), MIN(_xlfn._xlws.FILTER($Y$4:$Y$26, $Y$4:$Y$26&gt;=J67)))</f>
        <v>8</v>
      </c>
    </row>
    <row r="68" spans="1:19" x14ac:dyDescent="0.25">
      <c r="A68">
        <v>200</v>
      </c>
      <c r="B68" s="11">
        <f t="shared" si="1"/>
        <v>18</v>
      </c>
      <c r="C68" s="11" t="str">
        <f t="shared" si="2"/>
        <v>I 200X18</v>
      </c>
      <c r="D68" s="5" t="s">
        <v>148</v>
      </c>
      <c r="E68" s="5" t="str">
        <f t="shared" si="3"/>
        <v>I - 198 x 99 x 4.5 x 7</v>
      </c>
      <c r="F68" s="25">
        <v>18.2</v>
      </c>
      <c r="G68" s="6">
        <v>198</v>
      </c>
      <c r="H68" s="6">
        <v>99</v>
      </c>
      <c r="I68" s="6">
        <v>4.5</v>
      </c>
      <c r="J68" s="6">
        <v>7</v>
      </c>
      <c r="K68" s="6">
        <v>184</v>
      </c>
      <c r="L68" s="6">
        <v>2320</v>
      </c>
      <c r="N68" s="5" t="str">
        <f t="shared" si="4"/>
        <v>I - 198 x 99 x 6 x 8</v>
      </c>
      <c r="O68" s="25">
        <f t="shared" si="5"/>
        <v>21.006599999999999</v>
      </c>
      <c r="P68" s="6">
        <f t="shared" si="6"/>
        <v>198</v>
      </c>
      <c r="Q68" s="6">
        <f t="shared" si="6"/>
        <v>99</v>
      </c>
      <c r="R68" s="6" cm="1">
        <f t="array" ref="R68">IF(I68-LOOKUP(I68, $Y$4:$Y$26) &lt;= 0.1, LOOKUP(I68, $Y$4:$Y$26), MIN(_xlfn._xlws.FILTER($Y$4:$Y$26, $Y$4:$Y$26&gt;=I68)))</f>
        <v>6</v>
      </c>
      <c r="S68" s="6" cm="1">
        <f t="array" ref="S68">IF(J68-LOOKUP(J68, $Y$4:$Y$26) &lt;= 0.1, LOOKUP(J68, $Y$4:$Y$26), MIN(_xlfn._xlws.FILTER($Y$4:$Y$26, $Y$4:$Y$26&gt;=J68)))</f>
        <v>8</v>
      </c>
    </row>
    <row r="69" spans="1:19" x14ac:dyDescent="0.25">
      <c r="A69">
        <v>180</v>
      </c>
      <c r="B69" s="11">
        <f t="shared" si="1"/>
        <v>22</v>
      </c>
      <c r="C69" s="11" t="str">
        <f t="shared" si="2"/>
        <v>I 180X22</v>
      </c>
      <c r="D69" s="5" t="s">
        <v>149</v>
      </c>
      <c r="E69" s="5" t="str">
        <f t="shared" si="3"/>
        <v>H - 179 x 90 x 6 x 10</v>
      </c>
      <c r="F69" s="25">
        <v>22.2</v>
      </c>
      <c r="G69" s="6">
        <v>179</v>
      </c>
      <c r="H69" s="6">
        <v>90</v>
      </c>
      <c r="I69" s="6">
        <v>6</v>
      </c>
      <c r="J69" s="6">
        <v>10</v>
      </c>
      <c r="K69" s="6">
        <v>159</v>
      </c>
      <c r="L69" s="6">
        <v>2820</v>
      </c>
      <c r="N69" s="5" t="str">
        <f t="shared" si="4"/>
        <v>H - 179 x 90 x 6 x 10</v>
      </c>
      <c r="O69" s="25">
        <f t="shared" si="5"/>
        <v>21.6189</v>
      </c>
      <c r="P69" s="6">
        <f t="shared" si="6"/>
        <v>179</v>
      </c>
      <c r="Q69" s="6">
        <f t="shared" si="6"/>
        <v>90</v>
      </c>
      <c r="R69" s="6" cm="1">
        <f t="array" ref="R69">IF(I69-LOOKUP(I69, $Y$4:$Y$26) &lt;= 0.1, LOOKUP(I69, $Y$4:$Y$26), MIN(_xlfn._xlws.FILTER($Y$4:$Y$26, $Y$4:$Y$26&gt;=I69)))</f>
        <v>6</v>
      </c>
      <c r="S69" s="6" cm="1">
        <f t="array" ref="S69">IF(J69-LOOKUP(J69, $Y$4:$Y$26) &lt;= 0.1, LOOKUP(J69, $Y$4:$Y$26), MIN(_xlfn._xlws.FILTER($Y$4:$Y$26, $Y$4:$Y$26&gt;=J69)))</f>
        <v>10</v>
      </c>
    </row>
    <row r="70" spans="1:19" x14ac:dyDescent="0.25">
      <c r="A70">
        <v>180</v>
      </c>
      <c r="B70" s="11">
        <f t="shared" ref="B70:B133" si="7">ROUND(F70,0)</f>
        <v>18</v>
      </c>
      <c r="C70" s="11" t="str">
        <f t="shared" ref="C70:C133" si="8">"I "&amp;A70&amp;"X"&amp;B70</f>
        <v>I 180X18</v>
      </c>
      <c r="D70" s="5" t="s">
        <v>150</v>
      </c>
      <c r="E70" s="5" t="str">
        <f t="shared" ref="E70:E133" si="9">IF((G70/H70)&lt;2,"H - ","I - ")&amp;G70&amp;" x "&amp;H70&amp;" x "&amp;I70&amp;" x "&amp;J70</f>
        <v>H - 175 x 90 x 5 x 8</v>
      </c>
      <c r="F70" s="25">
        <v>18.100000000000001</v>
      </c>
      <c r="G70" s="6">
        <v>175</v>
      </c>
      <c r="H70" s="6">
        <v>90</v>
      </c>
      <c r="I70" s="6">
        <v>5</v>
      </c>
      <c r="J70" s="6">
        <v>8</v>
      </c>
      <c r="K70" s="6">
        <v>159</v>
      </c>
      <c r="L70" s="6">
        <v>2300</v>
      </c>
      <c r="N70" s="5" t="str">
        <f t="shared" ref="N70:N133" si="10">IF((P70/Q70)&lt;2,"H - ","I - ")&amp;P70&amp;" x "&amp;Q70&amp;" x "&amp;R70&amp;" x "&amp;S70</f>
        <v>H - 175 x 90 x 6 x 8</v>
      </c>
      <c r="O70" s="25">
        <f t="shared" ref="O70:O133" si="11">((P70-2*S70)*R70+2*Q70*S70)*7850/10^6</f>
        <v>18.792899999999999</v>
      </c>
      <c r="P70" s="6">
        <f t="shared" ref="P70:Q133" si="12">ROUND(G70,0)</f>
        <v>175</v>
      </c>
      <c r="Q70" s="6">
        <f t="shared" si="12"/>
        <v>90</v>
      </c>
      <c r="R70" s="6" cm="1">
        <f t="array" ref="R70">IF(I70-LOOKUP(I70, $Y$4:$Y$26) &lt;= 0.1, LOOKUP(I70, $Y$4:$Y$26), MIN(_xlfn._xlws.FILTER($Y$4:$Y$26, $Y$4:$Y$26&gt;=I70)))</f>
        <v>6</v>
      </c>
      <c r="S70" s="6" cm="1">
        <f t="array" ref="S70">IF(J70-LOOKUP(J70, $Y$4:$Y$26) &lt;= 0.1, LOOKUP(J70, $Y$4:$Y$26), MIN(_xlfn._xlws.FILTER($Y$4:$Y$26, $Y$4:$Y$26&gt;=J70)))</f>
        <v>8</v>
      </c>
    </row>
    <row r="71" spans="1:19" x14ac:dyDescent="0.25">
      <c r="A71">
        <v>180</v>
      </c>
      <c r="B71" s="11">
        <f t="shared" si="7"/>
        <v>16</v>
      </c>
      <c r="C71" s="11" t="str">
        <f t="shared" si="8"/>
        <v>I 180X16</v>
      </c>
      <c r="D71" s="5" t="s">
        <v>151</v>
      </c>
      <c r="E71" s="5" t="str">
        <f t="shared" si="9"/>
        <v>H - 173 x 90 x 4.5 x 7</v>
      </c>
      <c r="F71" s="25">
        <v>16.100000000000001</v>
      </c>
      <c r="G71" s="6">
        <v>173</v>
      </c>
      <c r="H71" s="6">
        <v>90</v>
      </c>
      <c r="I71" s="6">
        <v>4.5</v>
      </c>
      <c r="J71" s="6">
        <v>7</v>
      </c>
      <c r="K71" s="6">
        <v>159</v>
      </c>
      <c r="L71" s="6">
        <v>2040</v>
      </c>
      <c r="N71" s="5" t="str">
        <f t="shared" si="10"/>
        <v>H - 173 x 90 x 6 x 8</v>
      </c>
      <c r="O71" s="25">
        <f t="shared" si="11"/>
        <v>18.698699999999999</v>
      </c>
      <c r="P71" s="6">
        <f t="shared" si="12"/>
        <v>173</v>
      </c>
      <c r="Q71" s="6">
        <f t="shared" si="12"/>
        <v>90</v>
      </c>
      <c r="R71" s="6" cm="1">
        <f t="array" ref="R71">IF(I71-LOOKUP(I71, $Y$4:$Y$26) &lt;= 0.1, LOOKUP(I71, $Y$4:$Y$26), MIN(_xlfn._xlws.FILTER($Y$4:$Y$26, $Y$4:$Y$26&gt;=I71)))</f>
        <v>6</v>
      </c>
      <c r="S71" s="6" cm="1">
        <f t="array" ref="S71">IF(J71-LOOKUP(J71, $Y$4:$Y$26) &lt;= 0.1, LOOKUP(J71, $Y$4:$Y$26), MIN(_xlfn._xlws.FILTER($Y$4:$Y$26, $Y$4:$Y$26&gt;=J71)))</f>
        <v>8</v>
      </c>
    </row>
    <row r="72" spans="1:19" x14ac:dyDescent="0.25">
      <c r="A72">
        <v>150</v>
      </c>
      <c r="B72" s="11">
        <f t="shared" si="7"/>
        <v>18</v>
      </c>
      <c r="C72" s="11" t="str">
        <f t="shared" si="8"/>
        <v>I 150X18</v>
      </c>
      <c r="D72" s="5" t="s">
        <v>152</v>
      </c>
      <c r="E72" s="5" t="str">
        <f t="shared" si="9"/>
        <v>I - 155 x 75 x 6 x 9.5</v>
      </c>
      <c r="F72" s="25">
        <v>18</v>
      </c>
      <c r="G72" s="6">
        <v>155</v>
      </c>
      <c r="H72" s="6">
        <v>75</v>
      </c>
      <c r="I72" s="6">
        <v>6</v>
      </c>
      <c r="J72" s="6">
        <v>9.5</v>
      </c>
      <c r="K72" s="6">
        <v>136</v>
      </c>
      <c r="L72" s="6">
        <v>2300</v>
      </c>
      <c r="N72" s="5" t="str">
        <f t="shared" si="10"/>
        <v>I - 155 x 75 x 6 x 10</v>
      </c>
      <c r="O72" s="25">
        <f t="shared" si="11"/>
        <v>18.133500000000002</v>
      </c>
      <c r="P72" s="6">
        <f t="shared" si="12"/>
        <v>155</v>
      </c>
      <c r="Q72" s="6">
        <f t="shared" si="12"/>
        <v>75</v>
      </c>
      <c r="R72" s="6" cm="1">
        <f t="array" ref="R72">IF(I72-LOOKUP(I72, $Y$4:$Y$26) &lt;= 0.1, LOOKUP(I72, $Y$4:$Y$26), MIN(_xlfn._xlws.FILTER($Y$4:$Y$26, $Y$4:$Y$26&gt;=I72)))</f>
        <v>6</v>
      </c>
      <c r="S72" s="6" cm="1">
        <f t="array" ref="S72">IF(J72-LOOKUP(J72, $Y$4:$Y$26) &lt;= 0.1, LOOKUP(J72, $Y$4:$Y$26), MIN(_xlfn._xlws.FILTER($Y$4:$Y$26, $Y$4:$Y$26&gt;=J72)))</f>
        <v>10</v>
      </c>
    </row>
    <row r="73" spans="1:19" x14ac:dyDescent="0.25">
      <c r="A73">
        <v>150</v>
      </c>
      <c r="B73" s="11">
        <f t="shared" si="7"/>
        <v>14</v>
      </c>
      <c r="C73" s="11" t="str">
        <f t="shared" si="8"/>
        <v>I 150X14</v>
      </c>
      <c r="D73" s="5" t="s">
        <v>153</v>
      </c>
      <c r="E73" s="5" t="str">
        <f t="shared" si="9"/>
        <v>I - 150 x 75 x 5 x 7</v>
      </c>
      <c r="F73" s="25">
        <v>14</v>
      </c>
      <c r="G73" s="6">
        <v>150</v>
      </c>
      <c r="H73" s="6">
        <v>75</v>
      </c>
      <c r="I73" s="6">
        <v>5</v>
      </c>
      <c r="J73" s="6">
        <v>7</v>
      </c>
      <c r="K73" s="6">
        <v>136</v>
      </c>
      <c r="L73" s="6">
        <v>1780</v>
      </c>
      <c r="N73" s="5" t="str">
        <f t="shared" si="10"/>
        <v>I - 150 x 75 x 6 x 8</v>
      </c>
      <c r="O73" s="25">
        <f t="shared" si="11"/>
        <v>15.731400000000001</v>
      </c>
      <c r="P73" s="6">
        <f t="shared" si="12"/>
        <v>150</v>
      </c>
      <c r="Q73" s="6">
        <f t="shared" si="12"/>
        <v>75</v>
      </c>
      <c r="R73" s="6" cm="1">
        <f t="array" ref="R73">IF(I73-LOOKUP(I73, $Y$4:$Y$26) &lt;= 0.1, LOOKUP(I73, $Y$4:$Y$26), MIN(_xlfn._xlws.FILTER($Y$4:$Y$26, $Y$4:$Y$26&gt;=I73)))</f>
        <v>6</v>
      </c>
      <c r="S73" s="6" cm="1">
        <f t="array" ref="S73">IF(J73-LOOKUP(J73, $Y$4:$Y$26) &lt;= 0.1, LOOKUP(J73, $Y$4:$Y$26), MIN(_xlfn._xlws.FILTER($Y$4:$Y$26, $Y$4:$Y$26&gt;=J73)))</f>
        <v>8</v>
      </c>
    </row>
    <row r="74" spans="1:19" x14ac:dyDescent="0.25">
      <c r="A74">
        <v>310</v>
      </c>
      <c r="B74" s="11">
        <f t="shared" si="7"/>
        <v>158</v>
      </c>
      <c r="C74" s="11" t="str">
        <f t="shared" si="8"/>
        <v>I 310X158</v>
      </c>
      <c r="D74" s="5" t="s">
        <v>154</v>
      </c>
      <c r="E74" s="5" t="str">
        <f t="shared" si="9"/>
        <v>H - 327.2 x 311 x 15.7 x 25</v>
      </c>
      <c r="F74" s="25">
        <v>158</v>
      </c>
      <c r="G74" s="6">
        <v>327.2</v>
      </c>
      <c r="H74" s="6">
        <v>311</v>
      </c>
      <c r="I74" s="6">
        <v>15.7</v>
      </c>
      <c r="J74" s="6">
        <v>25</v>
      </c>
      <c r="K74" s="6">
        <v>277.2</v>
      </c>
      <c r="L74" s="6">
        <v>20100</v>
      </c>
      <c r="N74" s="5" t="str">
        <f t="shared" si="10"/>
        <v>H - 327 x 311 x 16 x 25</v>
      </c>
      <c r="O74" s="25">
        <f t="shared" si="11"/>
        <v>156.8587</v>
      </c>
      <c r="P74" s="6">
        <f t="shared" si="12"/>
        <v>327</v>
      </c>
      <c r="Q74" s="6">
        <f t="shared" si="12"/>
        <v>311</v>
      </c>
      <c r="R74" s="6" cm="1">
        <f t="array" ref="R74">IF(I74-LOOKUP(I74, $Y$4:$Y$26) &lt;= 0.1, LOOKUP(I74, $Y$4:$Y$26), MIN(_xlfn._xlws.FILTER($Y$4:$Y$26, $Y$4:$Y$26&gt;=I74)))</f>
        <v>16</v>
      </c>
      <c r="S74" s="6" cm="1">
        <f t="array" ref="S74">IF(J74-LOOKUP(J74, $Y$4:$Y$26) &lt;= 0.1, LOOKUP(J74, $Y$4:$Y$26), MIN(_xlfn._xlws.FILTER($Y$4:$Y$26, $Y$4:$Y$26&gt;=J74)))</f>
        <v>25</v>
      </c>
    </row>
    <row r="75" spans="1:19" x14ac:dyDescent="0.25">
      <c r="A75">
        <v>310</v>
      </c>
      <c r="B75" s="11">
        <f t="shared" si="7"/>
        <v>137</v>
      </c>
      <c r="C75" s="11" t="str">
        <f t="shared" si="8"/>
        <v>I 310X137</v>
      </c>
      <c r="D75" s="5" t="s">
        <v>155</v>
      </c>
      <c r="E75" s="5" t="str">
        <f t="shared" si="9"/>
        <v>H - 320.6 x 309 x 13.8 x 21.7</v>
      </c>
      <c r="F75" s="25">
        <v>137</v>
      </c>
      <c r="G75" s="6">
        <v>320.60000000000002</v>
      </c>
      <c r="H75" s="6">
        <v>309</v>
      </c>
      <c r="I75" s="6">
        <v>13.8</v>
      </c>
      <c r="J75" s="6">
        <v>21.7</v>
      </c>
      <c r="K75" s="6">
        <v>277.20000000000005</v>
      </c>
      <c r="L75" s="6">
        <v>17500</v>
      </c>
      <c r="N75" s="5" t="str">
        <f t="shared" si="10"/>
        <v>H - 321 x 309 x 14 x 22</v>
      </c>
      <c r="O75" s="25">
        <f t="shared" si="11"/>
        <v>137.17089999999999</v>
      </c>
      <c r="P75" s="6">
        <f t="shared" si="12"/>
        <v>321</v>
      </c>
      <c r="Q75" s="6">
        <f t="shared" si="12"/>
        <v>309</v>
      </c>
      <c r="R75" s="6" cm="1">
        <f t="array" ref="R75">IF(I75-LOOKUP(I75, $Y$4:$Y$26) &lt;= 0.1, LOOKUP(I75, $Y$4:$Y$26), MIN(_xlfn._xlws.FILTER($Y$4:$Y$26, $Y$4:$Y$26&gt;=I75)))</f>
        <v>14</v>
      </c>
      <c r="S75" s="6" cm="1">
        <f t="array" ref="S75">IF(J75-LOOKUP(J75, $Y$4:$Y$26) &lt;= 0.1, LOOKUP(J75, $Y$4:$Y$26), MIN(_xlfn._xlws.FILTER($Y$4:$Y$26, $Y$4:$Y$26&gt;=J75)))</f>
        <v>22</v>
      </c>
    </row>
    <row r="76" spans="1:19" x14ac:dyDescent="0.25">
      <c r="A76">
        <v>310</v>
      </c>
      <c r="B76" s="11">
        <f t="shared" si="7"/>
        <v>118</v>
      </c>
      <c r="C76" s="11" t="str">
        <f t="shared" si="8"/>
        <v>I 310X118</v>
      </c>
      <c r="D76" s="5" t="s">
        <v>156</v>
      </c>
      <c r="E76" s="5" t="str">
        <f t="shared" si="9"/>
        <v>H - 314.6 x 307 x 11.9 x 18.7</v>
      </c>
      <c r="F76" s="25">
        <v>118</v>
      </c>
      <c r="G76" s="6">
        <v>314.60000000000002</v>
      </c>
      <c r="H76" s="6">
        <v>307</v>
      </c>
      <c r="I76" s="6">
        <v>11.9</v>
      </c>
      <c r="J76" s="6">
        <v>18.7</v>
      </c>
      <c r="K76" s="6">
        <v>277.20000000000005</v>
      </c>
      <c r="L76" s="6">
        <v>15000</v>
      </c>
      <c r="N76" s="5" t="str">
        <f t="shared" si="10"/>
        <v>H - 315 x 307 x 12 x 20</v>
      </c>
      <c r="O76" s="25">
        <f t="shared" si="11"/>
        <v>122.303</v>
      </c>
      <c r="P76" s="6">
        <f t="shared" si="12"/>
        <v>315</v>
      </c>
      <c r="Q76" s="6">
        <f t="shared" si="12"/>
        <v>307</v>
      </c>
      <c r="R76" s="6" cm="1">
        <f t="array" ref="R76">IF(I76-LOOKUP(I76, $Y$4:$Y$26) &lt;= 0.1, LOOKUP(I76, $Y$4:$Y$26), MIN(_xlfn._xlws.FILTER($Y$4:$Y$26, $Y$4:$Y$26&gt;=I76)))</f>
        <v>12</v>
      </c>
      <c r="S76" s="6" cm="1">
        <f t="array" ref="S76">IF(J76-LOOKUP(J76, $Y$4:$Y$26) &lt;= 0.1, LOOKUP(J76, $Y$4:$Y$26), MIN(_xlfn._xlws.FILTER($Y$4:$Y$26, $Y$4:$Y$26&gt;=J76)))</f>
        <v>20</v>
      </c>
    </row>
    <row r="77" spans="1:19" x14ac:dyDescent="0.25">
      <c r="A77">
        <v>310</v>
      </c>
      <c r="B77" s="11">
        <f t="shared" si="7"/>
        <v>97</v>
      </c>
      <c r="C77" s="11" t="str">
        <f t="shared" si="8"/>
        <v>I 310X97</v>
      </c>
      <c r="D77" s="5" t="s">
        <v>157</v>
      </c>
      <c r="E77" s="5" t="str">
        <f t="shared" si="9"/>
        <v>H - 308 x 305 x 9.9 x 15.4</v>
      </c>
      <c r="F77" s="25">
        <v>96.8</v>
      </c>
      <c r="G77" s="6">
        <v>308</v>
      </c>
      <c r="H77" s="6">
        <v>305</v>
      </c>
      <c r="I77" s="6">
        <v>9.9</v>
      </c>
      <c r="J77" s="6">
        <v>15.4</v>
      </c>
      <c r="K77" s="6">
        <v>277.2</v>
      </c>
      <c r="L77" s="6">
        <v>12400</v>
      </c>
      <c r="N77" s="5" t="str">
        <f t="shared" si="10"/>
        <v>H - 308 x 305 x 10 x 16</v>
      </c>
      <c r="O77" s="25">
        <f t="shared" si="11"/>
        <v>98.281999999999996</v>
      </c>
      <c r="P77" s="6">
        <f t="shared" si="12"/>
        <v>308</v>
      </c>
      <c r="Q77" s="6">
        <f t="shared" si="12"/>
        <v>305</v>
      </c>
      <c r="R77" s="6" cm="1">
        <f t="array" ref="R77">IF(I77-LOOKUP(I77, $Y$4:$Y$26) &lt;= 0.1, LOOKUP(I77, $Y$4:$Y$26), MIN(_xlfn._xlws.FILTER($Y$4:$Y$26, $Y$4:$Y$26&gt;=I77)))</f>
        <v>10</v>
      </c>
      <c r="S77" s="6" cm="1">
        <f t="array" ref="S77">IF(J77-LOOKUP(J77, $Y$4:$Y$26) &lt;= 0.1, LOOKUP(J77, $Y$4:$Y$26), MIN(_xlfn._xlws.FILTER($Y$4:$Y$26, $Y$4:$Y$26&gt;=J77)))</f>
        <v>16</v>
      </c>
    </row>
    <row r="78" spans="1:19" x14ac:dyDescent="0.25">
      <c r="A78">
        <v>250</v>
      </c>
      <c r="B78" s="11">
        <f t="shared" si="7"/>
        <v>90</v>
      </c>
      <c r="C78" s="11" t="str">
        <f t="shared" si="8"/>
        <v>I 250X90</v>
      </c>
      <c r="D78" s="5" t="s">
        <v>158</v>
      </c>
      <c r="E78" s="5" t="str">
        <f t="shared" si="9"/>
        <v>H - 260 x 256 x 10.5 x 17.3</v>
      </c>
      <c r="F78" s="25">
        <v>89.5</v>
      </c>
      <c r="G78" s="6">
        <v>260</v>
      </c>
      <c r="H78" s="6">
        <v>256</v>
      </c>
      <c r="I78" s="6">
        <v>10.5</v>
      </c>
      <c r="J78" s="6">
        <v>17.3</v>
      </c>
      <c r="K78" s="6">
        <v>225.4</v>
      </c>
      <c r="L78" s="6">
        <v>11400</v>
      </c>
      <c r="N78" s="5" t="str">
        <f t="shared" si="10"/>
        <v>H - 260 x 256 x 12 x 18</v>
      </c>
      <c r="O78" s="25">
        <f t="shared" si="11"/>
        <v>93.446399999999997</v>
      </c>
      <c r="P78" s="6">
        <f t="shared" si="12"/>
        <v>260</v>
      </c>
      <c r="Q78" s="6">
        <f t="shared" si="12"/>
        <v>256</v>
      </c>
      <c r="R78" s="6" cm="1">
        <f t="array" ref="R78">IF(I78-LOOKUP(I78, $Y$4:$Y$26) &lt;= 0.1, LOOKUP(I78, $Y$4:$Y$26), MIN(_xlfn._xlws.FILTER($Y$4:$Y$26, $Y$4:$Y$26&gt;=I78)))</f>
        <v>12</v>
      </c>
      <c r="S78" s="6" cm="1">
        <f t="array" ref="S78">IF(J78-LOOKUP(J78, $Y$4:$Y$26) &lt;= 0.1, LOOKUP(J78, $Y$4:$Y$26), MIN(_xlfn._xlws.FILTER($Y$4:$Y$26, $Y$4:$Y$26&gt;=J78)))</f>
        <v>18</v>
      </c>
    </row>
    <row r="79" spans="1:19" x14ac:dyDescent="0.25">
      <c r="A79">
        <v>250</v>
      </c>
      <c r="B79" s="11">
        <f t="shared" si="7"/>
        <v>73</v>
      </c>
      <c r="C79" s="11" t="str">
        <f t="shared" si="8"/>
        <v>I 250X73</v>
      </c>
      <c r="D79" s="5" t="s">
        <v>159</v>
      </c>
      <c r="E79" s="5" t="str">
        <f t="shared" si="9"/>
        <v>H - 253.8 x 254 x 8.6 x 14.2</v>
      </c>
      <c r="F79" s="25">
        <v>72.900000000000006</v>
      </c>
      <c r="G79" s="6">
        <v>253.8</v>
      </c>
      <c r="H79" s="6">
        <v>254</v>
      </c>
      <c r="I79" s="6">
        <v>8.6</v>
      </c>
      <c r="J79" s="6">
        <v>14.2</v>
      </c>
      <c r="K79" s="6">
        <v>225.4</v>
      </c>
      <c r="L79" s="6">
        <v>9320</v>
      </c>
      <c r="N79" s="5" t="str">
        <f t="shared" si="10"/>
        <v>H - 254 x 254 x 10 x 16</v>
      </c>
      <c r="O79" s="25">
        <f t="shared" si="11"/>
        <v>81.231800000000007</v>
      </c>
      <c r="P79" s="6">
        <f t="shared" si="12"/>
        <v>254</v>
      </c>
      <c r="Q79" s="6">
        <f t="shared" si="12"/>
        <v>254</v>
      </c>
      <c r="R79" s="6" cm="1">
        <f t="array" ref="R79">IF(I79-LOOKUP(I79, $Y$4:$Y$26) &lt;= 0.1, LOOKUP(I79, $Y$4:$Y$26), MIN(_xlfn._xlws.FILTER($Y$4:$Y$26, $Y$4:$Y$26&gt;=I79)))</f>
        <v>10</v>
      </c>
      <c r="S79" s="6" cm="1">
        <f t="array" ref="S79">IF(J79-LOOKUP(J79, $Y$4:$Y$26) &lt;= 0.1, LOOKUP(J79, $Y$4:$Y$26), MIN(_xlfn._xlws.FILTER($Y$4:$Y$26, $Y$4:$Y$26&gt;=J79)))</f>
        <v>16</v>
      </c>
    </row>
    <row r="80" spans="1:19" x14ac:dyDescent="0.25">
      <c r="A80">
        <v>200</v>
      </c>
      <c r="B80" s="11">
        <f t="shared" si="7"/>
        <v>60</v>
      </c>
      <c r="C80" s="11" t="str">
        <f t="shared" si="8"/>
        <v>I 200X60</v>
      </c>
      <c r="D80" s="5" t="s">
        <v>160</v>
      </c>
      <c r="E80" s="5" t="str">
        <f t="shared" si="9"/>
        <v>H - 209.8 x 205 x 9.3 x 14.2</v>
      </c>
      <c r="F80" s="25">
        <v>59.5</v>
      </c>
      <c r="G80" s="6">
        <v>209.8</v>
      </c>
      <c r="H80" s="6">
        <v>205</v>
      </c>
      <c r="I80" s="6">
        <v>9.3000000000000007</v>
      </c>
      <c r="J80" s="6">
        <v>14.2</v>
      </c>
      <c r="K80" s="6">
        <v>181.4</v>
      </c>
      <c r="L80" s="6">
        <v>7620</v>
      </c>
      <c r="N80" s="5" t="str">
        <f t="shared" si="10"/>
        <v>H - 210 x 205 x 10 x 16</v>
      </c>
      <c r="O80" s="25">
        <f t="shared" si="11"/>
        <v>65.468999999999994</v>
      </c>
      <c r="P80" s="6">
        <f t="shared" si="12"/>
        <v>210</v>
      </c>
      <c r="Q80" s="6">
        <f t="shared" si="12"/>
        <v>205</v>
      </c>
      <c r="R80" s="6" cm="1">
        <f t="array" ref="R80">IF(I80-LOOKUP(I80, $Y$4:$Y$26) &lt;= 0.1, LOOKUP(I80, $Y$4:$Y$26), MIN(_xlfn._xlws.FILTER($Y$4:$Y$26, $Y$4:$Y$26&gt;=I80)))</f>
        <v>10</v>
      </c>
      <c r="S80" s="6" cm="1">
        <f t="array" ref="S80">IF(J80-LOOKUP(J80, $Y$4:$Y$26) &lt;= 0.1, LOOKUP(J80, $Y$4:$Y$26), MIN(_xlfn._xlws.FILTER($Y$4:$Y$26, $Y$4:$Y$26&gt;=J80)))</f>
        <v>16</v>
      </c>
    </row>
    <row r="81" spans="1:19" x14ac:dyDescent="0.25">
      <c r="A81">
        <v>200</v>
      </c>
      <c r="B81" s="11">
        <f t="shared" si="7"/>
        <v>52</v>
      </c>
      <c r="C81" s="11" t="str">
        <f t="shared" si="8"/>
        <v>I 200X52</v>
      </c>
      <c r="D81" s="5" t="s">
        <v>161</v>
      </c>
      <c r="E81" s="5" t="str">
        <f t="shared" si="9"/>
        <v>H - 206.4 x 204 x 8 x 12.5</v>
      </c>
      <c r="F81" s="25">
        <v>52.2</v>
      </c>
      <c r="G81" s="6">
        <v>206.4</v>
      </c>
      <c r="H81" s="6">
        <v>204</v>
      </c>
      <c r="I81" s="6">
        <v>8</v>
      </c>
      <c r="J81" s="6">
        <v>12.5</v>
      </c>
      <c r="K81" s="6">
        <v>181.4</v>
      </c>
      <c r="L81" s="6">
        <v>6660</v>
      </c>
      <c r="N81" s="5" t="str">
        <f t="shared" si="10"/>
        <v>H - 206 x 204 x 8 x 14</v>
      </c>
      <c r="O81" s="25">
        <f t="shared" si="11"/>
        <v>56.017600000000002</v>
      </c>
      <c r="P81" s="6">
        <f t="shared" si="12"/>
        <v>206</v>
      </c>
      <c r="Q81" s="6">
        <f t="shared" si="12"/>
        <v>204</v>
      </c>
      <c r="R81" s="6" cm="1">
        <f t="array" ref="R81">IF(I81-LOOKUP(I81, $Y$4:$Y$26) &lt;= 0.1, LOOKUP(I81, $Y$4:$Y$26), MIN(_xlfn._xlws.FILTER($Y$4:$Y$26, $Y$4:$Y$26&gt;=I81)))</f>
        <v>8</v>
      </c>
      <c r="S81" s="6" cm="1">
        <f t="array" ref="S81">IF(J81-LOOKUP(J81, $Y$4:$Y$26) &lt;= 0.1, LOOKUP(J81, $Y$4:$Y$26), MIN(_xlfn._xlws.FILTER($Y$4:$Y$26, $Y$4:$Y$26&gt;=J81)))</f>
        <v>14</v>
      </c>
    </row>
    <row r="82" spans="1:19" x14ac:dyDescent="0.25">
      <c r="A82">
        <v>200</v>
      </c>
      <c r="B82" s="11">
        <f t="shared" si="7"/>
        <v>46</v>
      </c>
      <c r="C82" s="11" t="str">
        <f t="shared" si="8"/>
        <v>I 200X46</v>
      </c>
      <c r="D82" s="5" t="s">
        <v>162</v>
      </c>
      <c r="E82" s="5" t="str">
        <f t="shared" si="9"/>
        <v>H - 203.4 x 203 x 7.3 x 11</v>
      </c>
      <c r="F82" s="25">
        <v>46.2</v>
      </c>
      <c r="G82" s="6">
        <v>203.4</v>
      </c>
      <c r="H82" s="6">
        <v>203</v>
      </c>
      <c r="I82" s="6">
        <v>7.3</v>
      </c>
      <c r="J82" s="6">
        <v>11</v>
      </c>
      <c r="K82" s="6">
        <v>181.4</v>
      </c>
      <c r="L82" s="6">
        <v>5900</v>
      </c>
      <c r="N82" s="5" t="str">
        <f t="shared" si="10"/>
        <v>H - 203 x 203 x 8 x 12</v>
      </c>
      <c r="O82" s="25">
        <f t="shared" si="11"/>
        <v>49.486400000000003</v>
      </c>
      <c r="P82" s="6">
        <f t="shared" si="12"/>
        <v>203</v>
      </c>
      <c r="Q82" s="6">
        <f t="shared" si="12"/>
        <v>203</v>
      </c>
      <c r="R82" s="6" cm="1">
        <f t="array" ref="R82">IF(I82-LOOKUP(I82, $Y$4:$Y$26) &lt;= 0.1, LOOKUP(I82, $Y$4:$Y$26), MIN(_xlfn._xlws.FILTER($Y$4:$Y$26, $Y$4:$Y$26&gt;=I82)))</f>
        <v>8</v>
      </c>
      <c r="S82" s="6" cm="1">
        <f t="array" ref="S82">IF(J82-LOOKUP(J82, $Y$4:$Y$26) &lt;= 0.1, LOOKUP(J82, $Y$4:$Y$26), MIN(_xlfn._xlws.FILTER($Y$4:$Y$26, $Y$4:$Y$26&gt;=J82)))</f>
        <v>12</v>
      </c>
    </row>
    <row r="83" spans="1:19" x14ac:dyDescent="0.25">
      <c r="A83">
        <v>150</v>
      </c>
      <c r="B83" s="11">
        <f t="shared" si="7"/>
        <v>37</v>
      </c>
      <c r="C83" s="11" t="str">
        <f t="shared" si="8"/>
        <v>I 150X37</v>
      </c>
      <c r="D83" s="5" t="s">
        <v>163</v>
      </c>
      <c r="E83" s="5" t="str">
        <f t="shared" si="9"/>
        <v>H - 161.8 x 154 x 8.1 x 11.5</v>
      </c>
      <c r="F83" s="25">
        <v>37.200000000000003</v>
      </c>
      <c r="G83" s="6">
        <v>161.80000000000001</v>
      </c>
      <c r="H83" s="6">
        <v>154</v>
      </c>
      <c r="I83" s="6">
        <v>8.1</v>
      </c>
      <c r="J83" s="6">
        <v>11.5</v>
      </c>
      <c r="K83" s="6">
        <v>138.80000000000001</v>
      </c>
      <c r="L83" s="6">
        <v>4730</v>
      </c>
      <c r="N83" s="5" t="str">
        <f t="shared" si="10"/>
        <v>H - 162 x 154 x 8 x 12</v>
      </c>
      <c r="O83" s="25">
        <f t="shared" si="11"/>
        <v>37.68</v>
      </c>
      <c r="P83" s="6">
        <f t="shared" si="12"/>
        <v>162</v>
      </c>
      <c r="Q83" s="6">
        <f t="shared" si="12"/>
        <v>154</v>
      </c>
      <c r="R83" s="6" cm="1">
        <f t="array" ref="R83">IF(I83-LOOKUP(I83, $Y$4:$Y$26) &lt;= 0.1, LOOKUP(I83, $Y$4:$Y$26), MIN(_xlfn._xlws.FILTER($Y$4:$Y$26, $Y$4:$Y$26&gt;=I83)))</f>
        <v>8</v>
      </c>
      <c r="S83" s="6" cm="1">
        <f t="array" ref="S83">IF(J83-LOOKUP(J83, $Y$4:$Y$26) &lt;= 0.1, LOOKUP(J83, $Y$4:$Y$26), MIN(_xlfn._xlws.FILTER($Y$4:$Y$26, $Y$4:$Y$26&gt;=J83)))</f>
        <v>12</v>
      </c>
    </row>
    <row r="84" spans="1:19" x14ac:dyDescent="0.25">
      <c r="A84">
        <v>150</v>
      </c>
      <c r="B84" s="11">
        <f t="shared" si="7"/>
        <v>30</v>
      </c>
      <c r="C84" s="11" t="str">
        <f t="shared" si="8"/>
        <v>I 150X30</v>
      </c>
      <c r="D84" s="5" t="s">
        <v>164</v>
      </c>
      <c r="E84" s="5" t="str">
        <f t="shared" si="9"/>
        <v>H - 157.6 x 153 x 6.6 x 9.4</v>
      </c>
      <c r="F84" s="25">
        <v>30</v>
      </c>
      <c r="G84" s="6">
        <v>157.6</v>
      </c>
      <c r="H84" s="6">
        <v>153</v>
      </c>
      <c r="I84" s="6">
        <v>6.6</v>
      </c>
      <c r="J84" s="6">
        <v>9.4</v>
      </c>
      <c r="K84" s="6">
        <v>138.79999999999998</v>
      </c>
      <c r="L84" s="6">
        <v>3860</v>
      </c>
      <c r="N84" s="5" t="str">
        <f t="shared" si="10"/>
        <v>H - 158 x 153 x 8 x 10</v>
      </c>
      <c r="O84" s="25">
        <f t="shared" si="11"/>
        <v>32.687399999999997</v>
      </c>
      <c r="P84" s="6">
        <f t="shared" si="12"/>
        <v>158</v>
      </c>
      <c r="Q84" s="6">
        <f t="shared" si="12"/>
        <v>153</v>
      </c>
      <c r="R84" s="6" cm="1">
        <f t="array" ref="R84">IF(I84-LOOKUP(I84, $Y$4:$Y$26) &lt;= 0.1, LOOKUP(I84, $Y$4:$Y$26), MIN(_xlfn._xlws.FILTER($Y$4:$Y$26, $Y$4:$Y$26&gt;=I84)))</f>
        <v>8</v>
      </c>
      <c r="S84" s="6" cm="1">
        <f t="array" ref="S84">IF(J84-LOOKUP(J84, $Y$4:$Y$26) &lt;= 0.1, LOOKUP(J84, $Y$4:$Y$26), MIN(_xlfn._xlws.FILTER($Y$4:$Y$26, $Y$4:$Y$26&gt;=J84)))</f>
        <v>10</v>
      </c>
    </row>
    <row r="85" spans="1:19" x14ac:dyDescent="0.25">
      <c r="A85">
        <v>150</v>
      </c>
      <c r="B85" s="11">
        <f t="shared" si="7"/>
        <v>23</v>
      </c>
      <c r="C85" s="11" t="str">
        <f t="shared" si="8"/>
        <v>I 150X23</v>
      </c>
      <c r="D85" s="5" t="s">
        <v>165</v>
      </c>
      <c r="E85" s="5" t="str">
        <f t="shared" si="9"/>
        <v>H - 152.4 x 152 x 6.1 x 6.8</v>
      </c>
      <c r="F85" s="25">
        <v>23.4</v>
      </c>
      <c r="G85" s="6">
        <v>152.4</v>
      </c>
      <c r="H85" s="6">
        <v>152</v>
      </c>
      <c r="I85" s="6">
        <v>6.1</v>
      </c>
      <c r="J85" s="6">
        <v>6.8</v>
      </c>
      <c r="K85" s="6">
        <v>138.80000000000001</v>
      </c>
      <c r="L85" s="6">
        <v>2980</v>
      </c>
      <c r="N85" s="5" t="str">
        <f t="shared" si="10"/>
        <v>H - 152 x 152 x 6 x 8</v>
      </c>
      <c r="O85" s="25">
        <f t="shared" si="11"/>
        <v>25.4968</v>
      </c>
      <c r="P85" s="6">
        <f t="shared" si="12"/>
        <v>152</v>
      </c>
      <c r="Q85" s="6">
        <f t="shared" si="12"/>
        <v>152</v>
      </c>
      <c r="R85" s="6" cm="1">
        <f t="array" ref="R85">IF(I85-LOOKUP(I85, $Y$4:$Y$26) &lt;= 0.1, LOOKUP(I85, $Y$4:$Y$26), MIN(_xlfn._xlws.FILTER($Y$4:$Y$26, $Y$4:$Y$26&gt;=I85)))</f>
        <v>6</v>
      </c>
      <c r="S85" s="6" cm="1">
        <f t="array" ref="S85">IF(J85-LOOKUP(J85, $Y$4:$Y$26) &lt;= 0.1, LOOKUP(J85, $Y$4:$Y$26), MIN(_xlfn._xlws.FILTER($Y$4:$Y$26, $Y$4:$Y$26&gt;=J85)))</f>
        <v>8</v>
      </c>
    </row>
    <row r="86" spans="1:19" x14ac:dyDescent="0.25">
      <c r="A86">
        <v>100</v>
      </c>
      <c r="B86" s="11">
        <f t="shared" si="7"/>
        <v>15</v>
      </c>
      <c r="C86" s="11" t="str">
        <f t="shared" si="8"/>
        <v>I 100X15</v>
      </c>
      <c r="D86" s="5" t="s">
        <v>166</v>
      </c>
      <c r="E86" s="5" t="str">
        <f t="shared" si="9"/>
        <v>H - 97 x 99 x 5 x 7</v>
      </c>
      <c r="F86" s="25">
        <v>14.8</v>
      </c>
      <c r="G86" s="6">
        <v>97</v>
      </c>
      <c r="H86" s="6">
        <v>99</v>
      </c>
      <c r="I86" s="6">
        <v>5</v>
      </c>
      <c r="J86" s="6">
        <v>7</v>
      </c>
      <c r="K86" s="6">
        <v>83</v>
      </c>
      <c r="L86" s="6">
        <v>1890</v>
      </c>
      <c r="N86" s="5" t="str">
        <f t="shared" si="10"/>
        <v>H - 97 x 99 x 6 x 8</v>
      </c>
      <c r="O86" s="25">
        <f t="shared" si="11"/>
        <v>16.249500000000001</v>
      </c>
      <c r="P86" s="6">
        <f t="shared" si="12"/>
        <v>97</v>
      </c>
      <c r="Q86" s="6">
        <f t="shared" si="12"/>
        <v>99</v>
      </c>
      <c r="R86" s="6" cm="1">
        <f t="array" ref="R86">IF(I86-LOOKUP(I86, $Y$4:$Y$26) &lt;= 0.1, LOOKUP(I86, $Y$4:$Y$26), MIN(_xlfn._xlws.FILTER($Y$4:$Y$26, $Y$4:$Y$26&gt;=I86)))</f>
        <v>6</v>
      </c>
      <c r="S86" s="6" cm="1">
        <f t="array" ref="S86">IF(J86-LOOKUP(J86, $Y$4:$Y$26) &lt;= 0.1, LOOKUP(J86, $Y$4:$Y$26), MIN(_xlfn._xlws.FILTER($Y$4:$Y$26, $Y$4:$Y$26&gt;=J86)))</f>
        <v>8</v>
      </c>
    </row>
    <row r="87" spans="1:19" x14ac:dyDescent="0.25">
      <c r="A87" t="s">
        <v>500</v>
      </c>
      <c r="B87" s="11">
        <f t="shared" si="7"/>
        <v>499</v>
      </c>
      <c r="C87" s="11" t="str">
        <f t="shared" si="8"/>
        <v>I W44X499</v>
      </c>
      <c r="D87" s="5" t="s">
        <v>167</v>
      </c>
      <c r="E87" s="5" t="str">
        <f t="shared" si="9"/>
        <v>I - 1118 x 404 x 26.17 x 44.96</v>
      </c>
      <c r="F87" s="25">
        <v>498.53359999999998</v>
      </c>
      <c r="G87" s="6">
        <v>1118</v>
      </c>
      <c r="H87" s="6">
        <v>404</v>
      </c>
      <c r="I87" s="6">
        <v>26.17</v>
      </c>
      <c r="J87" s="6">
        <v>44.96</v>
      </c>
      <c r="K87" s="6"/>
      <c r="L87" s="6">
        <v>63548.259999999995</v>
      </c>
      <c r="N87" s="5" t="str">
        <f t="shared" si="10"/>
        <v>I - 1118 x 404 x 28 x 45</v>
      </c>
      <c r="O87" s="25">
        <f t="shared" si="11"/>
        <v>511.38040000000001</v>
      </c>
      <c r="P87" s="6">
        <f t="shared" si="12"/>
        <v>1118</v>
      </c>
      <c r="Q87" s="6">
        <f t="shared" si="12"/>
        <v>404</v>
      </c>
      <c r="R87" s="6" cm="1">
        <f t="array" ref="R87">IF(I87-LOOKUP(I87, $Y$4:$Y$26) &lt;= 0.1, LOOKUP(I87, $Y$4:$Y$26), MIN(_xlfn._xlws.FILTER($Y$4:$Y$26, $Y$4:$Y$26&gt;=I87)))</f>
        <v>28</v>
      </c>
      <c r="S87" s="6" cm="1">
        <f t="array" ref="S87">IF(J87-LOOKUP(J87, $Y$4:$Y$26) &lt;= 0.1, LOOKUP(J87, $Y$4:$Y$26), MIN(_xlfn._xlws.FILTER($Y$4:$Y$26, $Y$4:$Y$26&gt;=J87)))</f>
        <v>45</v>
      </c>
    </row>
    <row r="88" spans="1:19" x14ac:dyDescent="0.25">
      <c r="A88" t="s">
        <v>500</v>
      </c>
      <c r="B88" s="11">
        <f t="shared" si="7"/>
        <v>432</v>
      </c>
      <c r="C88" s="11" t="str">
        <f t="shared" si="8"/>
        <v>I W44X432</v>
      </c>
      <c r="D88" s="5" t="s">
        <v>168</v>
      </c>
      <c r="E88" s="5" t="str">
        <f t="shared" si="9"/>
        <v>I - 1108 x 402 x 21.98 x 40.14</v>
      </c>
      <c r="F88" s="25">
        <v>431.56639999999999</v>
      </c>
      <c r="G88" s="6">
        <v>1108</v>
      </c>
      <c r="H88" s="6">
        <v>402</v>
      </c>
      <c r="I88" s="6">
        <v>21.98</v>
      </c>
      <c r="J88" s="6">
        <v>40.14</v>
      </c>
      <c r="K88" s="6"/>
      <c r="L88" s="6">
        <v>55096.664000000004</v>
      </c>
      <c r="N88" s="5" t="str">
        <f t="shared" si="10"/>
        <v>I - 1108 x 402 x 22 x 45</v>
      </c>
      <c r="O88" s="25">
        <f t="shared" si="11"/>
        <v>459.82159999999999</v>
      </c>
      <c r="P88" s="6">
        <f t="shared" si="12"/>
        <v>1108</v>
      </c>
      <c r="Q88" s="6">
        <f t="shared" si="12"/>
        <v>402</v>
      </c>
      <c r="R88" s="6" cm="1">
        <f t="array" ref="R88">IF(I88-LOOKUP(I88, $Y$4:$Y$26) &lt;= 0.1, LOOKUP(I88, $Y$4:$Y$26), MIN(_xlfn._xlws.FILTER($Y$4:$Y$26, $Y$4:$Y$26&gt;=I88)))</f>
        <v>22</v>
      </c>
      <c r="S88" s="6" cm="1">
        <f t="array" ref="S88">IF(J88-LOOKUP(J88, $Y$4:$Y$26) &lt;= 0.1, LOOKUP(J88, $Y$4:$Y$26), MIN(_xlfn._xlws.FILTER($Y$4:$Y$26, $Y$4:$Y$26&gt;=J88)))</f>
        <v>45</v>
      </c>
    </row>
    <row r="89" spans="1:19" x14ac:dyDescent="0.25">
      <c r="A89" t="s">
        <v>500</v>
      </c>
      <c r="B89" s="11">
        <f t="shared" si="7"/>
        <v>390</v>
      </c>
      <c r="C89" s="11" t="str">
        <f t="shared" si="8"/>
        <v>I W44X390</v>
      </c>
      <c r="D89" s="5" t="s">
        <v>169</v>
      </c>
      <c r="E89" s="5" t="str">
        <f t="shared" si="9"/>
        <v>I - 1100 x 402 x 19.94 x 36.07</v>
      </c>
      <c r="F89" s="25">
        <v>389.89792</v>
      </c>
      <c r="G89" s="6">
        <v>1100</v>
      </c>
      <c r="H89" s="6">
        <v>402</v>
      </c>
      <c r="I89" s="6">
        <v>19.940000000000001</v>
      </c>
      <c r="J89" s="6">
        <v>36.07</v>
      </c>
      <c r="K89" s="6"/>
      <c r="L89" s="6">
        <v>49806.351999999999</v>
      </c>
      <c r="N89" s="5" t="str">
        <f t="shared" si="10"/>
        <v>I - 1100 x 402 x 20 x 40</v>
      </c>
      <c r="O89" s="25">
        <f t="shared" si="11"/>
        <v>412.596</v>
      </c>
      <c r="P89" s="6">
        <f t="shared" si="12"/>
        <v>1100</v>
      </c>
      <c r="Q89" s="6">
        <f t="shared" si="12"/>
        <v>402</v>
      </c>
      <c r="R89" s="6" cm="1">
        <f t="array" ref="R89">IF(I89-LOOKUP(I89, $Y$4:$Y$26) &lt;= 0.1, LOOKUP(I89, $Y$4:$Y$26), MIN(_xlfn._xlws.FILTER($Y$4:$Y$26, $Y$4:$Y$26&gt;=I89)))</f>
        <v>20</v>
      </c>
      <c r="S89" s="6" cm="1">
        <f t="array" ref="S89">IF(J89-LOOKUP(J89, $Y$4:$Y$26) &lt;= 0.1, LOOKUP(J89, $Y$4:$Y$26), MIN(_xlfn._xlws.FILTER($Y$4:$Y$26, $Y$4:$Y$26&gt;=J89)))</f>
        <v>40</v>
      </c>
    </row>
    <row r="90" spans="1:19" x14ac:dyDescent="0.25">
      <c r="A90" t="s">
        <v>500</v>
      </c>
      <c r="B90" s="11">
        <f t="shared" si="7"/>
        <v>342</v>
      </c>
      <c r="C90" s="11" t="str">
        <f t="shared" si="8"/>
        <v>I W44X342</v>
      </c>
      <c r="D90" s="5" t="s">
        <v>170</v>
      </c>
      <c r="E90" s="5" t="str">
        <f t="shared" si="9"/>
        <v>I - 1090 x 402 x 18.04 x 30.99</v>
      </c>
      <c r="F90" s="25">
        <v>342.27679999999998</v>
      </c>
      <c r="G90" s="6">
        <v>1090</v>
      </c>
      <c r="H90" s="6">
        <v>402</v>
      </c>
      <c r="I90" s="6">
        <v>18.040000000000003</v>
      </c>
      <c r="J90" s="6">
        <v>30.990000000000002</v>
      </c>
      <c r="K90" s="6"/>
      <c r="L90" s="6">
        <v>43741.847999999998</v>
      </c>
      <c r="N90" s="5" t="str">
        <f t="shared" si="10"/>
        <v>I - 1090 x 402 x 18 x 32</v>
      </c>
      <c r="O90" s="25">
        <f t="shared" si="11"/>
        <v>346.93860000000001</v>
      </c>
      <c r="P90" s="6">
        <f t="shared" si="12"/>
        <v>1090</v>
      </c>
      <c r="Q90" s="6">
        <f t="shared" si="12"/>
        <v>402</v>
      </c>
      <c r="R90" s="6" cm="1">
        <f t="array" ref="R90">IF(I90-LOOKUP(I90, $Y$4:$Y$26) &lt;= 0.1, LOOKUP(I90, $Y$4:$Y$26), MIN(_xlfn._xlws.FILTER($Y$4:$Y$26, $Y$4:$Y$26&gt;=I90)))</f>
        <v>18</v>
      </c>
      <c r="S90" s="6" cm="1">
        <f t="array" ref="S90">IF(J90-LOOKUP(J90, $Y$4:$Y$26) &lt;= 0.1, LOOKUP(J90, $Y$4:$Y$26), MIN(_xlfn._xlws.FILTER($Y$4:$Y$26, $Y$4:$Y$26&gt;=J90)))</f>
        <v>32</v>
      </c>
    </row>
    <row r="91" spans="1:19" x14ac:dyDescent="0.25">
      <c r="A91" t="s">
        <v>501</v>
      </c>
      <c r="B91" s="11">
        <f t="shared" si="7"/>
        <v>975</v>
      </c>
      <c r="C91" s="11" t="str">
        <f t="shared" si="8"/>
        <v>I W40X975</v>
      </c>
      <c r="D91" s="5" t="s">
        <v>171</v>
      </c>
      <c r="E91" s="5" t="str">
        <f t="shared" si="9"/>
        <v>I - 1108 x 430 x 50.04 x 89.92</v>
      </c>
      <c r="F91" s="25">
        <v>974.74479999999994</v>
      </c>
      <c r="G91" s="6">
        <v>1108</v>
      </c>
      <c r="H91" s="6">
        <v>430</v>
      </c>
      <c r="I91" s="6">
        <v>50.04</v>
      </c>
      <c r="J91" s="6">
        <v>89.92</v>
      </c>
      <c r="K91" s="6"/>
      <c r="L91" s="6">
        <v>124515.87999999999</v>
      </c>
      <c r="N91" s="5" t="str">
        <f t="shared" si="10"/>
        <v>I - 1108 x 430 x 50 x 90</v>
      </c>
      <c r="O91" s="25">
        <f t="shared" si="11"/>
        <v>971.83</v>
      </c>
      <c r="P91" s="6">
        <f t="shared" si="12"/>
        <v>1108</v>
      </c>
      <c r="Q91" s="6">
        <f t="shared" si="12"/>
        <v>430</v>
      </c>
      <c r="R91" s="6" cm="1">
        <f t="array" ref="R91">IF(I91-LOOKUP(I91, $Y$4:$Y$26) &lt;= 0.1, LOOKUP(I91, $Y$4:$Y$26), MIN(_xlfn._xlws.FILTER($Y$4:$Y$26, $Y$4:$Y$26&gt;=I91)))</f>
        <v>50</v>
      </c>
      <c r="S91" s="6" cm="1">
        <f t="array" ref="S91">IF(J91-LOOKUP(J91, $Y$4:$Y$26) &lt;= 0.1, LOOKUP(J91, $Y$4:$Y$26), MIN(_xlfn._xlws.FILTER($Y$4:$Y$26, $Y$4:$Y$26&gt;=J91)))</f>
        <v>90</v>
      </c>
    </row>
    <row r="92" spans="1:19" x14ac:dyDescent="0.25">
      <c r="A92" t="s">
        <v>501</v>
      </c>
      <c r="B92" s="11">
        <f t="shared" si="7"/>
        <v>882</v>
      </c>
      <c r="C92" s="11" t="str">
        <f t="shared" si="8"/>
        <v>I W40X882</v>
      </c>
      <c r="D92" s="5" t="s">
        <v>172</v>
      </c>
      <c r="E92" s="5" t="str">
        <f t="shared" si="9"/>
        <v>I - 1093 x 425 x 45.47 x 82.05</v>
      </c>
      <c r="F92" s="25">
        <v>882.47888</v>
      </c>
      <c r="G92" s="6">
        <v>1093</v>
      </c>
      <c r="H92" s="6">
        <v>425</v>
      </c>
      <c r="I92" s="6">
        <v>45.47</v>
      </c>
      <c r="J92" s="6">
        <v>82.050000000000011</v>
      </c>
      <c r="K92" s="6"/>
      <c r="L92" s="6">
        <v>112257.84</v>
      </c>
      <c r="N92" s="5" t="str">
        <f t="shared" si="10"/>
        <v>I - 1093 x 425 x 50 x 90</v>
      </c>
      <c r="O92" s="25">
        <f t="shared" si="11"/>
        <v>958.87750000000005</v>
      </c>
      <c r="P92" s="6">
        <f t="shared" si="12"/>
        <v>1093</v>
      </c>
      <c r="Q92" s="6">
        <f t="shared" si="12"/>
        <v>425</v>
      </c>
      <c r="R92" s="6" cm="1">
        <f t="array" ref="R92">IF(I92-LOOKUP(I92, $Y$4:$Y$26) &lt;= 0.1, LOOKUP(I92, $Y$4:$Y$26), MIN(_xlfn._xlws.FILTER($Y$4:$Y$26, $Y$4:$Y$26&gt;=I92)))</f>
        <v>50</v>
      </c>
      <c r="S92" s="6" cm="1">
        <f t="array" ref="S92">IF(J92-LOOKUP(J92, $Y$4:$Y$26) &lt;= 0.1, LOOKUP(J92, $Y$4:$Y$26), MIN(_xlfn._xlws.FILTER($Y$4:$Y$26, $Y$4:$Y$26&gt;=J92)))</f>
        <v>90</v>
      </c>
    </row>
    <row r="93" spans="1:19" x14ac:dyDescent="0.25">
      <c r="A93" t="s">
        <v>501</v>
      </c>
      <c r="B93" s="11">
        <f t="shared" si="7"/>
        <v>749</v>
      </c>
      <c r="C93" s="11" t="str">
        <f t="shared" si="8"/>
        <v>I W40X749</v>
      </c>
      <c r="D93" s="5" t="s">
        <v>173</v>
      </c>
      <c r="E93" s="5" t="str">
        <f t="shared" si="9"/>
        <v>I - 1070 x 417 x 39.12 x 70.11</v>
      </c>
      <c r="F93" s="25">
        <v>748.54447999999991</v>
      </c>
      <c r="G93" s="6">
        <v>1070</v>
      </c>
      <c r="H93" s="6">
        <v>417</v>
      </c>
      <c r="I93" s="6">
        <v>39.119999999999997</v>
      </c>
      <c r="J93" s="6">
        <v>70.11</v>
      </c>
      <c r="K93" s="6"/>
      <c r="L93" s="6">
        <v>95483.680000000008</v>
      </c>
      <c r="N93" s="5" t="str">
        <f t="shared" si="10"/>
        <v>I - 1070 x 417 x 40 x 80</v>
      </c>
      <c r="O93" s="25">
        <f t="shared" si="11"/>
        <v>809.49199999999996</v>
      </c>
      <c r="P93" s="6">
        <f t="shared" si="12"/>
        <v>1070</v>
      </c>
      <c r="Q93" s="6">
        <f t="shared" si="12"/>
        <v>417</v>
      </c>
      <c r="R93" s="6" cm="1">
        <f t="array" ref="R93">IF(I93-LOOKUP(I93, $Y$4:$Y$26) &lt;= 0.1, LOOKUP(I93, $Y$4:$Y$26), MIN(_xlfn._xlws.FILTER($Y$4:$Y$26, $Y$4:$Y$26&gt;=I93)))</f>
        <v>40</v>
      </c>
      <c r="S93" s="6" cm="1">
        <f t="array" ref="S93">IF(J93-LOOKUP(J93, $Y$4:$Y$26) &lt;= 0.1, LOOKUP(J93, $Y$4:$Y$26), MIN(_xlfn._xlws.FILTER($Y$4:$Y$26, $Y$4:$Y$26&gt;=J93)))</f>
        <v>80</v>
      </c>
    </row>
    <row r="94" spans="1:19" x14ac:dyDescent="0.25">
      <c r="A94" t="s">
        <v>501</v>
      </c>
      <c r="B94" s="11">
        <f t="shared" si="7"/>
        <v>641</v>
      </c>
      <c r="C94" s="11" t="str">
        <f t="shared" si="8"/>
        <v>I W40X641</v>
      </c>
      <c r="D94" s="5" t="s">
        <v>174</v>
      </c>
      <c r="E94" s="5" t="str">
        <f t="shared" si="9"/>
        <v>I - 1050 x 412 x 34.04 x 59.95</v>
      </c>
      <c r="F94" s="25">
        <v>641.39695999999992</v>
      </c>
      <c r="G94" s="6">
        <v>1050</v>
      </c>
      <c r="H94" s="6">
        <v>412</v>
      </c>
      <c r="I94" s="6">
        <v>34.04</v>
      </c>
      <c r="J94" s="6">
        <v>59.949999999999996</v>
      </c>
      <c r="K94" s="6"/>
      <c r="L94" s="6">
        <v>81935.319999999992</v>
      </c>
      <c r="N94" s="5" t="str">
        <f t="shared" si="10"/>
        <v>I - 1050 x 412 x 35 x 60</v>
      </c>
      <c r="O94" s="25">
        <f t="shared" si="11"/>
        <v>643.62149999999997</v>
      </c>
      <c r="P94" s="6">
        <f t="shared" si="12"/>
        <v>1050</v>
      </c>
      <c r="Q94" s="6">
        <f t="shared" si="12"/>
        <v>412</v>
      </c>
      <c r="R94" s="6" cm="1">
        <f t="array" ref="R94">IF(I94-LOOKUP(I94, $Y$4:$Y$26) &lt;= 0.1, LOOKUP(I94, $Y$4:$Y$26), MIN(_xlfn._xlws.FILTER($Y$4:$Y$26, $Y$4:$Y$26&gt;=I94)))</f>
        <v>35</v>
      </c>
      <c r="S94" s="6" cm="1">
        <f t="array" ref="S94">IF(J94-LOOKUP(J94, $Y$4:$Y$26) &lt;= 0.1, LOOKUP(J94, $Y$4:$Y$26), MIN(_xlfn._xlws.FILTER($Y$4:$Y$26, $Y$4:$Y$26&gt;=J94)))</f>
        <v>60</v>
      </c>
    </row>
    <row r="95" spans="1:19" x14ac:dyDescent="0.25">
      <c r="A95" t="s">
        <v>501</v>
      </c>
      <c r="B95" s="11">
        <f t="shared" si="7"/>
        <v>591</v>
      </c>
      <c r="C95" s="11" t="str">
        <f t="shared" si="8"/>
        <v>I W40X591</v>
      </c>
      <c r="D95" s="5" t="s">
        <v>175</v>
      </c>
      <c r="E95" s="5" t="str">
        <f t="shared" si="9"/>
        <v>I - 1042 x 409 x 30.99 x 55.88</v>
      </c>
      <c r="F95" s="25">
        <v>590.79951999999992</v>
      </c>
      <c r="G95" s="6">
        <v>1042</v>
      </c>
      <c r="H95" s="6">
        <v>409</v>
      </c>
      <c r="I95" s="6">
        <v>30.990000000000002</v>
      </c>
      <c r="J95" s="6">
        <v>55.88</v>
      </c>
      <c r="K95" s="6"/>
      <c r="L95" s="6">
        <v>75483.72</v>
      </c>
      <c r="N95" s="5" t="str">
        <f t="shared" si="10"/>
        <v>I - 1042 x 409 x 32 x 60</v>
      </c>
      <c r="O95" s="25">
        <f t="shared" si="11"/>
        <v>616.88440000000003</v>
      </c>
      <c r="P95" s="6">
        <f t="shared" si="12"/>
        <v>1042</v>
      </c>
      <c r="Q95" s="6">
        <f t="shared" si="12"/>
        <v>409</v>
      </c>
      <c r="R95" s="6" cm="1">
        <f t="array" ref="R95">IF(I95-LOOKUP(I95, $Y$4:$Y$26) &lt;= 0.1, LOOKUP(I95, $Y$4:$Y$26), MIN(_xlfn._xlws.FILTER($Y$4:$Y$26, $Y$4:$Y$26&gt;=I95)))</f>
        <v>32</v>
      </c>
      <c r="S95" s="6" cm="1">
        <f t="array" ref="S95">IF(J95-LOOKUP(J95, $Y$4:$Y$26) &lt;= 0.1, LOOKUP(J95, $Y$4:$Y$26), MIN(_xlfn._xlws.FILTER($Y$4:$Y$26, $Y$4:$Y$26&gt;=J95)))</f>
        <v>60</v>
      </c>
    </row>
    <row r="96" spans="1:19" x14ac:dyDescent="0.25">
      <c r="A96" t="s">
        <v>501</v>
      </c>
      <c r="B96" s="11">
        <f t="shared" si="7"/>
        <v>554</v>
      </c>
      <c r="C96" s="11" t="str">
        <f t="shared" si="8"/>
        <v>I W40X554</v>
      </c>
      <c r="D96" s="5" t="s">
        <v>176</v>
      </c>
      <c r="E96" s="5" t="str">
        <f t="shared" si="9"/>
        <v>I - 1032 x 409 x 29.47 x 52.07</v>
      </c>
      <c r="F96" s="25">
        <v>553.59551999999996</v>
      </c>
      <c r="G96" s="6">
        <v>1032</v>
      </c>
      <c r="H96" s="6">
        <v>409</v>
      </c>
      <c r="I96" s="6">
        <v>29.470000000000002</v>
      </c>
      <c r="J96" s="6">
        <v>52.07</v>
      </c>
      <c r="K96" s="6"/>
      <c r="L96" s="6">
        <v>70967.599999999991</v>
      </c>
      <c r="N96" s="5" t="str">
        <f t="shared" si="10"/>
        <v>I - 1032 x 409 x 30 x 60</v>
      </c>
      <c r="O96" s="25">
        <f t="shared" si="11"/>
        <v>600.05399999999997</v>
      </c>
      <c r="P96" s="6">
        <f t="shared" si="12"/>
        <v>1032</v>
      </c>
      <c r="Q96" s="6">
        <f t="shared" si="12"/>
        <v>409</v>
      </c>
      <c r="R96" s="6" cm="1">
        <f t="array" ref="R96">IF(I96-LOOKUP(I96, $Y$4:$Y$26) &lt;= 0.1, LOOKUP(I96, $Y$4:$Y$26), MIN(_xlfn._xlws.FILTER($Y$4:$Y$26, $Y$4:$Y$26&gt;=I96)))</f>
        <v>30</v>
      </c>
      <c r="S96" s="6" cm="1">
        <f t="array" ref="S96">IF(J96-LOOKUP(J96, $Y$4:$Y$26) &lt;= 0.1, LOOKUP(J96, $Y$4:$Y$26), MIN(_xlfn._xlws.FILTER($Y$4:$Y$26, $Y$4:$Y$26&gt;=J96)))</f>
        <v>60</v>
      </c>
    </row>
    <row r="97" spans="1:19" x14ac:dyDescent="0.25">
      <c r="A97" t="s">
        <v>501</v>
      </c>
      <c r="B97" s="11">
        <f t="shared" si="7"/>
        <v>539</v>
      </c>
      <c r="C97" s="11" t="str">
        <f t="shared" si="8"/>
        <v>I W40X539</v>
      </c>
      <c r="D97" s="5" t="s">
        <v>177</v>
      </c>
      <c r="E97" s="5" t="str">
        <f t="shared" si="9"/>
        <v>I - 1032 x 407 x 28.45 x 51.06</v>
      </c>
      <c r="F97" s="25">
        <v>538.71392000000003</v>
      </c>
      <c r="G97" s="6">
        <v>1032</v>
      </c>
      <c r="H97" s="6">
        <v>407</v>
      </c>
      <c r="I97" s="6">
        <v>28.450000000000003</v>
      </c>
      <c r="J97" s="6">
        <v>51.059999999999995</v>
      </c>
      <c r="K97" s="6"/>
      <c r="L97" s="6">
        <v>68386.959999999992</v>
      </c>
      <c r="N97" s="5" t="str">
        <f t="shared" si="10"/>
        <v>I - 1032 x 407 x 30 x 60</v>
      </c>
      <c r="O97" s="25">
        <f t="shared" si="11"/>
        <v>598.16999999999996</v>
      </c>
      <c r="P97" s="6">
        <f t="shared" si="12"/>
        <v>1032</v>
      </c>
      <c r="Q97" s="6">
        <f t="shared" si="12"/>
        <v>407</v>
      </c>
      <c r="R97" s="6" cm="1">
        <f t="array" ref="R97">IF(I97-LOOKUP(I97, $Y$4:$Y$26) &lt;= 0.1, LOOKUP(I97, $Y$4:$Y$26), MIN(_xlfn._xlws.FILTER($Y$4:$Y$26, $Y$4:$Y$26&gt;=I97)))</f>
        <v>30</v>
      </c>
      <c r="S97" s="6" cm="1">
        <f t="array" ref="S97">IF(J97-LOOKUP(J97, $Y$4:$Y$26) &lt;= 0.1, LOOKUP(J97, $Y$4:$Y$26), MIN(_xlfn._xlws.FILTER($Y$4:$Y$26, $Y$4:$Y$26&gt;=J97)))</f>
        <v>60</v>
      </c>
    </row>
    <row r="98" spans="1:19" x14ac:dyDescent="0.25">
      <c r="A98" t="s">
        <v>501</v>
      </c>
      <c r="B98" s="11">
        <f t="shared" si="7"/>
        <v>482</v>
      </c>
      <c r="C98" s="11" t="str">
        <f t="shared" si="8"/>
        <v>I W40X482</v>
      </c>
      <c r="D98" s="5" t="s">
        <v>178</v>
      </c>
      <c r="E98" s="5" t="str">
        <f t="shared" si="9"/>
        <v>I - 1022 x 404 x 25.4 x 45.98</v>
      </c>
      <c r="F98" s="25">
        <v>482.16383999999999</v>
      </c>
      <c r="G98" s="6">
        <v>1022</v>
      </c>
      <c r="H98" s="6">
        <v>404</v>
      </c>
      <c r="I98" s="6">
        <v>25.4</v>
      </c>
      <c r="J98" s="6">
        <v>45.98</v>
      </c>
      <c r="K98" s="6"/>
      <c r="L98" s="6">
        <v>61483.748</v>
      </c>
      <c r="N98" s="5" t="str">
        <f t="shared" si="10"/>
        <v>I - 1022 x 404 x 28 x 50</v>
      </c>
      <c r="O98" s="25">
        <f t="shared" si="11"/>
        <v>519.79560000000004</v>
      </c>
      <c r="P98" s="6">
        <f t="shared" si="12"/>
        <v>1022</v>
      </c>
      <c r="Q98" s="6">
        <f t="shared" si="12"/>
        <v>404</v>
      </c>
      <c r="R98" s="6" cm="1">
        <f t="array" ref="R98">IF(I98-LOOKUP(I98, $Y$4:$Y$26) &lt;= 0.1, LOOKUP(I98, $Y$4:$Y$26), MIN(_xlfn._xlws.FILTER($Y$4:$Y$26, $Y$4:$Y$26&gt;=I98)))</f>
        <v>28</v>
      </c>
      <c r="S98" s="6" cm="1">
        <f t="array" ref="S98">IF(J98-LOOKUP(J98, $Y$4:$Y$26) &lt;= 0.1, LOOKUP(J98, $Y$4:$Y$26), MIN(_xlfn._xlws.FILTER($Y$4:$Y$26, $Y$4:$Y$26&gt;=J98)))</f>
        <v>50</v>
      </c>
    </row>
    <row r="99" spans="1:19" x14ac:dyDescent="0.25">
      <c r="A99" t="s">
        <v>501</v>
      </c>
      <c r="B99" s="11">
        <f t="shared" si="7"/>
        <v>442</v>
      </c>
      <c r="C99" s="11" t="str">
        <f t="shared" si="8"/>
        <v>I W40X442</v>
      </c>
      <c r="D99" s="5" t="s">
        <v>179</v>
      </c>
      <c r="E99" s="5" t="str">
        <f t="shared" si="9"/>
        <v>I - 1011 x 402 x 23.63 x 41.91</v>
      </c>
      <c r="F99" s="25">
        <v>441.98352</v>
      </c>
      <c r="G99" s="6">
        <v>1011</v>
      </c>
      <c r="H99" s="6">
        <v>402</v>
      </c>
      <c r="I99" s="6">
        <v>23.630000000000003</v>
      </c>
      <c r="J99" s="6">
        <v>41.91</v>
      </c>
      <c r="K99" s="6"/>
      <c r="L99" s="6">
        <v>56322.467999999993</v>
      </c>
      <c r="N99" s="5" t="str">
        <f t="shared" si="10"/>
        <v>I - 1011 x 402 x 25 x 45</v>
      </c>
      <c r="O99" s="25">
        <f t="shared" si="11"/>
        <v>464.75925000000001</v>
      </c>
      <c r="P99" s="6">
        <f t="shared" si="12"/>
        <v>1011</v>
      </c>
      <c r="Q99" s="6">
        <f t="shared" si="12"/>
        <v>402</v>
      </c>
      <c r="R99" s="6" cm="1">
        <f t="array" ref="R99">IF(I99-LOOKUP(I99, $Y$4:$Y$26) &lt;= 0.1, LOOKUP(I99, $Y$4:$Y$26), MIN(_xlfn._xlws.FILTER($Y$4:$Y$26, $Y$4:$Y$26&gt;=I99)))</f>
        <v>25</v>
      </c>
      <c r="S99" s="6" cm="1">
        <f t="array" ref="S99">IF(J99-LOOKUP(J99, $Y$4:$Y$26) &lt;= 0.1, LOOKUP(J99, $Y$4:$Y$26), MIN(_xlfn._xlws.FILTER($Y$4:$Y$26, $Y$4:$Y$26&gt;=J99)))</f>
        <v>45</v>
      </c>
    </row>
    <row r="100" spans="1:19" x14ac:dyDescent="0.25">
      <c r="A100" t="s">
        <v>501</v>
      </c>
      <c r="B100" s="11">
        <f t="shared" si="7"/>
        <v>412</v>
      </c>
      <c r="C100" s="11" t="str">
        <f t="shared" si="8"/>
        <v>I W40X412</v>
      </c>
      <c r="D100" s="5" t="s">
        <v>180</v>
      </c>
      <c r="E100" s="5" t="str">
        <f t="shared" si="9"/>
        <v>I - 1009 x 402 x 21.09 x 40.14</v>
      </c>
      <c r="F100" s="25">
        <v>412.22031999999996</v>
      </c>
      <c r="G100" s="6">
        <v>1009</v>
      </c>
      <c r="H100" s="6">
        <v>402</v>
      </c>
      <c r="I100" s="6">
        <v>21.09</v>
      </c>
      <c r="J100" s="6">
        <v>40.14</v>
      </c>
      <c r="K100" s="6"/>
      <c r="L100" s="6">
        <v>52580.54</v>
      </c>
      <c r="N100" s="5" t="str">
        <f t="shared" si="10"/>
        <v>I - 1009 x 402 x 22 x 45</v>
      </c>
      <c r="O100" s="25">
        <f t="shared" si="11"/>
        <v>442.72430000000003</v>
      </c>
      <c r="P100" s="6">
        <f t="shared" si="12"/>
        <v>1009</v>
      </c>
      <c r="Q100" s="6">
        <f t="shared" si="12"/>
        <v>402</v>
      </c>
      <c r="R100" s="6" cm="1">
        <f t="array" ref="R100">IF(I100-LOOKUP(I100, $Y$4:$Y$26) &lt;= 0.1, LOOKUP(I100, $Y$4:$Y$26), MIN(_xlfn._xlws.FILTER($Y$4:$Y$26, $Y$4:$Y$26&gt;=I100)))</f>
        <v>22</v>
      </c>
      <c r="S100" s="6" cm="1">
        <f t="array" ref="S100">IF(J100-LOOKUP(J100, $Y$4:$Y$26) &lt;= 0.1, LOOKUP(J100, $Y$4:$Y$26), MIN(_xlfn._xlws.FILTER($Y$4:$Y$26, $Y$4:$Y$26&gt;=J100)))</f>
        <v>45</v>
      </c>
    </row>
    <row r="101" spans="1:19" x14ac:dyDescent="0.25">
      <c r="A101" t="s">
        <v>501</v>
      </c>
      <c r="B101" s="11">
        <f t="shared" si="7"/>
        <v>371</v>
      </c>
      <c r="C101" s="11" t="str">
        <f t="shared" si="8"/>
        <v>I W40X371</v>
      </c>
      <c r="D101" s="5" t="s">
        <v>181</v>
      </c>
      <c r="E101" s="5" t="str">
        <f t="shared" si="9"/>
        <v>I - 1001 x 402 x 19.05 x 36.07</v>
      </c>
      <c r="F101" s="25">
        <v>370.55183999999997</v>
      </c>
      <c r="G101" s="6">
        <v>1001</v>
      </c>
      <c r="H101" s="6">
        <v>402</v>
      </c>
      <c r="I101" s="6">
        <v>19.05</v>
      </c>
      <c r="J101" s="6">
        <v>36.07</v>
      </c>
      <c r="K101" s="6"/>
      <c r="L101" s="6">
        <v>47419.259999999995</v>
      </c>
      <c r="N101" s="5" t="str">
        <f t="shared" si="10"/>
        <v>I - 1001 x 402 x 20 x 40</v>
      </c>
      <c r="O101" s="25">
        <f t="shared" si="11"/>
        <v>397.053</v>
      </c>
      <c r="P101" s="6">
        <f t="shared" si="12"/>
        <v>1001</v>
      </c>
      <c r="Q101" s="6">
        <f t="shared" si="12"/>
        <v>402</v>
      </c>
      <c r="R101" s="6" cm="1">
        <f t="array" ref="R101">IF(I101-LOOKUP(I101, $Y$4:$Y$26) &lt;= 0.1, LOOKUP(I101, $Y$4:$Y$26), MIN(_xlfn._xlws.FILTER($Y$4:$Y$26, $Y$4:$Y$26&gt;=I101)))</f>
        <v>20</v>
      </c>
      <c r="S101" s="6" cm="1">
        <f t="array" ref="S101">IF(J101-LOOKUP(J101, $Y$4:$Y$26) &lt;= 0.1, LOOKUP(J101, $Y$4:$Y$26), MIN(_xlfn._xlws.FILTER($Y$4:$Y$26, $Y$4:$Y$26&gt;=J101)))</f>
        <v>40</v>
      </c>
    </row>
    <row r="102" spans="1:19" x14ac:dyDescent="0.25">
      <c r="A102" t="s">
        <v>501</v>
      </c>
      <c r="B102" s="11">
        <f t="shared" si="7"/>
        <v>320</v>
      </c>
      <c r="C102" s="11" t="str">
        <f t="shared" si="8"/>
        <v>I W40X320</v>
      </c>
      <c r="D102" s="5" t="s">
        <v>182</v>
      </c>
      <c r="E102" s="5" t="str">
        <f t="shared" si="9"/>
        <v>I - 991 x 402 x 16.51 x 30.99</v>
      </c>
      <c r="F102" s="25">
        <v>319.95439999999996</v>
      </c>
      <c r="G102" s="6">
        <v>991</v>
      </c>
      <c r="H102" s="6">
        <v>402</v>
      </c>
      <c r="I102" s="6">
        <v>16.510000000000002</v>
      </c>
      <c r="J102" s="6">
        <v>30.990000000000002</v>
      </c>
      <c r="K102" s="6"/>
      <c r="L102" s="6">
        <v>40967.659999999996</v>
      </c>
      <c r="N102" s="5" t="str">
        <f t="shared" si="10"/>
        <v>I - 991 x 402 x 18 x 32</v>
      </c>
      <c r="O102" s="25">
        <f t="shared" si="11"/>
        <v>332.94990000000001</v>
      </c>
      <c r="P102" s="6">
        <f t="shared" si="12"/>
        <v>991</v>
      </c>
      <c r="Q102" s="6">
        <f t="shared" si="12"/>
        <v>402</v>
      </c>
      <c r="R102" s="6" cm="1">
        <f t="array" ref="R102">IF(I102-LOOKUP(I102, $Y$4:$Y$26) &lt;= 0.1, LOOKUP(I102, $Y$4:$Y$26), MIN(_xlfn._xlws.FILTER($Y$4:$Y$26, $Y$4:$Y$26&gt;=I102)))</f>
        <v>18</v>
      </c>
      <c r="S102" s="6" cm="1">
        <f t="array" ref="S102">IF(J102-LOOKUP(J102, $Y$4:$Y$26) &lt;= 0.1, LOOKUP(J102, $Y$4:$Y$26), MIN(_xlfn._xlws.FILTER($Y$4:$Y$26, $Y$4:$Y$26&gt;=J102)))</f>
        <v>32</v>
      </c>
    </row>
    <row r="103" spans="1:19" x14ac:dyDescent="0.25">
      <c r="A103" t="s">
        <v>501</v>
      </c>
      <c r="B103" s="11">
        <f t="shared" si="7"/>
        <v>296</v>
      </c>
      <c r="C103" s="11" t="str">
        <f t="shared" si="8"/>
        <v>I W40X296</v>
      </c>
      <c r="D103" s="5" t="s">
        <v>183</v>
      </c>
      <c r="E103" s="5" t="str">
        <f t="shared" si="9"/>
        <v>I - 983 x 402 x 16.51 x 27.18</v>
      </c>
      <c r="F103" s="25">
        <v>296.14384000000001</v>
      </c>
      <c r="G103" s="6">
        <v>983</v>
      </c>
      <c r="H103" s="6">
        <v>402</v>
      </c>
      <c r="I103" s="6">
        <v>16.510000000000002</v>
      </c>
      <c r="J103" s="6">
        <v>27.180000000000003</v>
      </c>
      <c r="K103" s="6"/>
      <c r="L103" s="6">
        <v>37935.407999999996</v>
      </c>
      <c r="N103" s="5" t="str">
        <f t="shared" si="10"/>
        <v>I - 983 x 402 x 18 x 28</v>
      </c>
      <c r="O103" s="25">
        <f t="shared" si="11"/>
        <v>307.70429999999999</v>
      </c>
      <c r="P103" s="6">
        <f t="shared" si="12"/>
        <v>983</v>
      </c>
      <c r="Q103" s="6">
        <f t="shared" si="12"/>
        <v>402</v>
      </c>
      <c r="R103" s="6" cm="1">
        <f t="array" ref="R103">IF(I103-LOOKUP(I103, $Y$4:$Y$26) &lt;= 0.1, LOOKUP(I103, $Y$4:$Y$26), MIN(_xlfn._xlws.FILTER($Y$4:$Y$26, $Y$4:$Y$26&gt;=I103)))</f>
        <v>18</v>
      </c>
      <c r="S103" s="6" cm="1">
        <f t="array" ref="S103">IF(J103-LOOKUP(J103, $Y$4:$Y$26) &lt;= 0.1, LOOKUP(J103, $Y$4:$Y$26), MIN(_xlfn._xlws.FILTER($Y$4:$Y$26, $Y$4:$Y$26&gt;=J103)))</f>
        <v>28</v>
      </c>
    </row>
    <row r="104" spans="1:19" x14ac:dyDescent="0.25">
      <c r="A104" t="s">
        <v>501</v>
      </c>
      <c r="B104" s="11">
        <f t="shared" si="7"/>
        <v>583</v>
      </c>
      <c r="C104" s="11" t="str">
        <f t="shared" si="8"/>
        <v>I W40X583</v>
      </c>
      <c r="D104" s="5" t="s">
        <v>184</v>
      </c>
      <c r="E104" s="5" t="str">
        <f t="shared" si="9"/>
        <v>I - 1057 x 315 x 36.07 x 64.01</v>
      </c>
      <c r="F104" s="25">
        <v>583.35871999999995</v>
      </c>
      <c r="G104" s="6">
        <v>1057</v>
      </c>
      <c r="H104" s="6">
        <v>315</v>
      </c>
      <c r="I104" s="6">
        <v>36.07</v>
      </c>
      <c r="J104" s="6">
        <v>64.010000000000005</v>
      </c>
      <c r="K104" s="6"/>
      <c r="L104" s="6">
        <v>74838.559999999998</v>
      </c>
      <c r="N104" s="5" t="str">
        <f t="shared" si="10"/>
        <v>I - 1057 x 315 x 40 x 70</v>
      </c>
      <c r="O104" s="25">
        <f t="shared" si="11"/>
        <v>634.12300000000005</v>
      </c>
      <c r="P104" s="6">
        <f t="shared" si="12"/>
        <v>1057</v>
      </c>
      <c r="Q104" s="6">
        <f t="shared" si="12"/>
        <v>315</v>
      </c>
      <c r="R104" s="6" cm="1">
        <f t="array" ref="R104">IF(I104-LOOKUP(I104, $Y$4:$Y$26) &lt;= 0.1, LOOKUP(I104, $Y$4:$Y$26), MIN(_xlfn._xlws.FILTER($Y$4:$Y$26, $Y$4:$Y$26&gt;=I104)))</f>
        <v>40</v>
      </c>
      <c r="S104" s="6" cm="1">
        <f t="array" ref="S104">IF(J104-LOOKUP(J104, $Y$4:$Y$26) &lt;= 0.1, LOOKUP(J104, $Y$4:$Y$26), MIN(_xlfn._xlws.FILTER($Y$4:$Y$26, $Y$4:$Y$26&gt;=J104)))</f>
        <v>70</v>
      </c>
    </row>
    <row r="105" spans="1:19" x14ac:dyDescent="0.25">
      <c r="A105" t="s">
        <v>501</v>
      </c>
      <c r="B105" s="11">
        <f t="shared" si="7"/>
        <v>493</v>
      </c>
      <c r="C105" s="11" t="str">
        <f t="shared" si="8"/>
        <v>I W40X493</v>
      </c>
      <c r="D105" s="5" t="s">
        <v>185</v>
      </c>
      <c r="E105" s="5" t="str">
        <f t="shared" si="9"/>
        <v>I - 1037 x 310 x 30.99 x 54.11</v>
      </c>
      <c r="F105" s="25">
        <v>492.58095999999995</v>
      </c>
      <c r="G105" s="6">
        <v>1037</v>
      </c>
      <c r="H105" s="6">
        <v>310</v>
      </c>
      <c r="I105" s="6">
        <v>30.990000000000002</v>
      </c>
      <c r="J105" s="6">
        <v>54.11</v>
      </c>
      <c r="K105" s="6"/>
      <c r="L105" s="6">
        <v>63032.132000000005</v>
      </c>
      <c r="N105" s="5" t="str">
        <f t="shared" si="10"/>
        <v>I - 1037 x 310 x 32 x 60</v>
      </c>
      <c r="O105" s="25">
        <f t="shared" si="11"/>
        <v>522.37040000000002</v>
      </c>
      <c r="P105" s="6">
        <f t="shared" si="12"/>
        <v>1037</v>
      </c>
      <c r="Q105" s="6">
        <f t="shared" si="12"/>
        <v>310</v>
      </c>
      <c r="R105" s="6" cm="1">
        <f t="array" ref="R105">IF(I105-LOOKUP(I105, $Y$4:$Y$26) &lt;= 0.1, LOOKUP(I105, $Y$4:$Y$26), MIN(_xlfn._xlws.FILTER($Y$4:$Y$26, $Y$4:$Y$26&gt;=I105)))</f>
        <v>32</v>
      </c>
      <c r="S105" s="6" cm="1">
        <f t="array" ref="S105">IF(J105-LOOKUP(J105, $Y$4:$Y$26) &lt;= 0.1, LOOKUP(J105, $Y$4:$Y$26), MIN(_xlfn._xlws.FILTER($Y$4:$Y$26, $Y$4:$Y$26&gt;=J105)))</f>
        <v>60</v>
      </c>
    </row>
    <row r="106" spans="1:19" x14ac:dyDescent="0.25">
      <c r="A106" t="s">
        <v>501</v>
      </c>
      <c r="B106" s="11">
        <f t="shared" si="7"/>
        <v>487</v>
      </c>
      <c r="C106" s="11" t="str">
        <f t="shared" si="8"/>
        <v>I W40X487</v>
      </c>
      <c r="D106" s="5" t="s">
        <v>186</v>
      </c>
      <c r="E106" s="5" t="str">
        <f t="shared" si="9"/>
        <v>I - 1037 x 308 x 29.98 x 54.11</v>
      </c>
      <c r="F106" s="25">
        <v>486.62831999999997</v>
      </c>
      <c r="G106" s="6">
        <v>1037</v>
      </c>
      <c r="H106" s="6">
        <v>308</v>
      </c>
      <c r="I106" s="6">
        <v>29.98</v>
      </c>
      <c r="J106" s="6">
        <v>54.11</v>
      </c>
      <c r="K106" s="6"/>
      <c r="L106" s="6">
        <v>61870.844000000005</v>
      </c>
      <c r="N106" s="5" t="str">
        <f t="shared" si="10"/>
        <v>I - 1037 x 308 x 30 x 60</v>
      </c>
      <c r="O106" s="25">
        <f t="shared" si="11"/>
        <v>506.08949999999999</v>
      </c>
      <c r="P106" s="6">
        <f t="shared" si="12"/>
        <v>1037</v>
      </c>
      <c r="Q106" s="6">
        <f t="shared" si="12"/>
        <v>308</v>
      </c>
      <c r="R106" s="6" cm="1">
        <f t="array" ref="R106">IF(I106-LOOKUP(I106, $Y$4:$Y$26) &lt;= 0.1, LOOKUP(I106, $Y$4:$Y$26), MIN(_xlfn._xlws.FILTER($Y$4:$Y$26, $Y$4:$Y$26&gt;=I106)))</f>
        <v>30</v>
      </c>
      <c r="S106" s="6" cm="1">
        <f t="array" ref="S106">IF(J106-LOOKUP(J106, $Y$4:$Y$26) &lt;= 0.1, LOOKUP(J106, $Y$4:$Y$26), MIN(_xlfn._xlws.FILTER($Y$4:$Y$26, $Y$4:$Y$26&gt;=J106)))</f>
        <v>60</v>
      </c>
    </row>
    <row r="107" spans="1:19" x14ac:dyDescent="0.25">
      <c r="A107" t="s">
        <v>501</v>
      </c>
      <c r="B107" s="11">
        <f t="shared" si="7"/>
        <v>438</v>
      </c>
      <c r="C107" s="11" t="str">
        <f t="shared" si="8"/>
        <v>I W40X438</v>
      </c>
      <c r="D107" s="5" t="s">
        <v>187</v>
      </c>
      <c r="E107" s="5" t="str">
        <f t="shared" si="9"/>
        <v>I - 1027 x 305 x 26.93 x 49.03</v>
      </c>
      <c r="F107" s="25">
        <v>437.51903999999996</v>
      </c>
      <c r="G107" s="6">
        <v>1027</v>
      </c>
      <c r="H107" s="6">
        <v>305</v>
      </c>
      <c r="I107" s="6">
        <v>26.930000000000003</v>
      </c>
      <c r="J107" s="6">
        <v>49.03</v>
      </c>
      <c r="K107" s="6"/>
      <c r="L107" s="6">
        <v>55612.792000000001</v>
      </c>
      <c r="N107" s="5" t="str">
        <f t="shared" si="10"/>
        <v>I - 1027 x 305 x 28 x 50</v>
      </c>
      <c r="O107" s="25">
        <f t="shared" si="11"/>
        <v>443.17959999999999</v>
      </c>
      <c r="P107" s="6">
        <f t="shared" si="12"/>
        <v>1027</v>
      </c>
      <c r="Q107" s="6">
        <f t="shared" si="12"/>
        <v>305</v>
      </c>
      <c r="R107" s="6" cm="1">
        <f t="array" ref="R107">IF(I107-LOOKUP(I107, $Y$4:$Y$26) &lt;= 0.1, LOOKUP(I107, $Y$4:$Y$26), MIN(_xlfn._xlws.FILTER($Y$4:$Y$26, $Y$4:$Y$26&gt;=I107)))</f>
        <v>28</v>
      </c>
      <c r="S107" s="6" cm="1">
        <f t="array" ref="S107">IF(J107-LOOKUP(J107, $Y$4:$Y$26) &lt;= 0.1, LOOKUP(J107, $Y$4:$Y$26), MIN(_xlfn._xlws.FILTER($Y$4:$Y$26, $Y$4:$Y$26&gt;=J107)))</f>
        <v>50</v>
      </c>
    </row>
    <row r="108" spans="1:19" x14ac:dyDescent="0.25">
      <c r="A108" t="s">
        <v>501</v>
      </c>
      <c r="B108" s="11">
        <f t="shared" si="7"/>
        <v>414</v>
      </c>
      <c r="C108" s="11" t="str">
        <f t="shared" si="8"/>
        <v>I W40X414</v>
      </c>
      <c r="D108" s="5" t="s">
        <v>188</v>
      </c>
      <c r="E108" s="5" t="str">
        <f t="shared" si="9"/>
        <v>I - 1022 x 305 x 26.17 x 45.98</v>
      </c>
      <c r="F108" s="25">
        <v>413.70847999999995</v>
      </c>
      <c r="G108" s="6">
        <v>1022</v>
      </c>
      <c r="H108" s="6">
        <v>305</v>
      </c>
      <c r="I108" s="6">
        <v>26.17</v>
      </c>
      <c r="J108" s="6">
        <v>45.98</v>
      </c>
      <c r="K108" s="6"/>
      <c r="L108" s="6">
        <v>53096.667999999998</v>
      </c>
      <c r="N108" s="5" t="str">
        <f t="shared" si="10"/>
        <v>I - 1022 x 305 x 28 x 50</v>
      </c>
      <c r="O108" s="25">
        <f t="shared" si="11"/>
        <v>442.0806</v>
      </c>
      <c r="P108" s="6">
        <f t="shared" si="12"/>
        <v>1022</v>
      </c>
      <c r="Q108" s="6">
        <f t="shared" si="12"/>
        <v>305</v>
      </c>
      <c r="R108" s="6" cm="1">
        <f t="array" ref="R108">IF(I108-LOOKUP(I108, $Y$4:$Y$26) &lt;= 0.1, LOOKUP(I108, $Y$4:$Y$26), MIN(_xlfn._xlws.FILTER($Y$4:$Y$26, $Y$4:$Y$26&gt;=I108)))</f>
        <v>28</v>
      </c>
      <c r="S108" s="6" cm="1">
        <f t="array" ref="S108">IF(J108-LOOKUP(J108, $Y$4:$Y$26) &lt;= 0.1, LOOKUP(J108, $Y$4:$Y$26), MIN(_xlfn._xlws.FILTER($Y$4:$Y$26, $Y$4:$Y$26&gt;=J108)))</f>
        <v>50</v>
      </c>
    </row>
    <row r="109" spans="1:19" x14ac:dyDescent="0.25">
      <c r="A109" t="s">
        <v>501</v>
      </c>
      <c r="B109" s="11">
        <f t="shared" si="7"/>
        <v>393</v>
      </c>
      <c r="C109" s="11" t="str">
        <f t="shared" si="8"/>
        <v>I W40X393</v>
      </c>
      <c r="D109" s="5" t="s">
        <v>189</v>
      </c>
      <c r="E109" s="5" t="str">
        <f t="shared" si="9"/>
        <v>I - 1016 x 303 x 24.39 x 43.95</v>
      </c>
      <c r="F109" s="25">
        <v>392.87423999999999</v>
      </c>
      <c r="G109" s="6">
        <v>1016</v>
      </c>
      <c r="H109" s="6">
        <v>303</v>
      </c>
      <c r="I109" s="6">
        <v>24.39</v>
      </c>
      <c r="J109" s="6">
        <v>43.949999999999996</v>
      </c>
      <c r="K109" s="6"/>
      <c r="L109" s="6">
        <v>49935.383999999998</v>
      </c>
      <c r="N109" s="5" t="str">
        <f t="shared" si="10"/>
        <v>I - 1016 x 303 x 25 x 45</v>
      </c>
      <c r="O109" s="25">
        <f t="shared" si="11"/>
        <v>395.79700000000003</v>
      </c>
      <c r="P109" s="6">
        <f t="shared" si="12"/>
        <v>1016</v>
      </c>
      <c r="Q109" s="6">
        <f t="shared" si="12"/>
        <v>303</v>
      </c>
      <c r="R109" s="6" cm="1">
        <f t="array" ref="R109">IF(I109-LOOKUP(I109, $Y$4:$Y$26) &lt;= 0.1, LOOKUP(I109, $Y$4:$Y$26), MIN(_xlfn._xlws.FILTER($Y$4:$Y$26, $Y$4:$Y$26&gt;=I109)))</f>
        <v>25</v>
      </c>
      <c r="S109" s="6" cm="1">
        <f t="array" ref="S109">IF(J109-LOOKUP(J109, $Y$4:$Y$26) &lt;= 0.1, LOOKUP(J109, $Y$4:$Y$26), MIN(_xlfn._xlws.FILTER($Y$4:$Y$26, $Y$4:$Y$26&gt;=J109)))</f>
        <v>45</v>
      </c>
    </row>
    <row r="110" spans="1:19" x14ac:dyDescent="0.25">
      <c r="A110" t="s">
        <v>501</v>
      </c>
      <c r="B110" s="11">
        <f t="shared" si="7"/>
        <v>350</v>
      </c>
      <c r="C110" s="11" t="str">
        <f t="shared" si="8"/>
        <v>I W40X350</v>
      </c>
      <c r="D110" s="5" t="s">
        <v>190</v>
      </c>
      <c r="E110" s="5" t="str">
        <f t="shared" si="9"/>
        <v>I - 1009 x 303 x 21.09 x 40.14</v>
      </c>
      <c r="F110" s="25">
        <v>349.7176</v>
      </c>
      <c r="G110" s="6">
        <v>1009</v>
      </c>
      <c r="H110" s="6">
        <v>303</v>
      </c>
      <c r="I110" s="6">
        <v>21.09</v>
      </c>
      <c r="J110" s="6">
        <v>40.14</v>
      </c>
      <c r="K110" s="6"/>
      <c r="L110" s="6">
        <v>44580.555999999997</v>
      </c>
      <c r="N110" s="5" t="str">
        <f t="shared" si="10"/>
        <v>I - 1009 x 303 x 22 x 45</v>
      </c>
      <c r="O110" s="25">
        <f t="shared" si="11"/>
        <v>372.7808</v>
      </c>
      <c r="P110" s="6">
        <f t="shared" si="12"/>
        <v>1009</v>
      </c>
      <c r="Q110" s="6">
        <f t="shared" si="12"/>
        <v>303</v>
      </c>
      <c r="R110" s="6" cm="1">
        <f t="array" ref="R110">IF(I110-LOOKUP(I110, $Y$4:$Y$26) &lt;= 0.1, LOOKUP(I110, $Y$4:$Y$26), MIN(_xlfn._xlws.FILTER($Y$4:$Y$26, $Y$4:$Y$26&gt;=I110)))</f>
        <v>22</v>
      </c>
      <c r="S110" s="6" cm="1">
        <f t="array" ref="S110">IF(J110-LOOKUP(J110, $Y$4:$Y$26) &lt;= 0.1, LOOKUP(J110, $Y$4:$Y$26), MIN(_xlfn._xlws.FILTER($Y$4:$Y$26, $Y$4:$Y$26&gt;=J110)))</f>
        <v>45</v>
      </c>
    </row>
    <row r="111" spans="1:19" x14ac:dyDescent="0.25">
      <c r="A111" t="s">
        <v>501</v>
      </c>
      <c r="B111" s="11">
        <f t="shared" si="7"/>
        <v>314</v>
      </c>
      <c r="C111" s="11" t="str">
        <f t="shared" si="8"/>
        <v>I W40X314</v>
      </c>
      <c r="D111" s="5" t="s">
        <v>191</v>
      </c>
      <c r="E111" s="5" t="str">
        <f t="shared" si="9"/>
        <v>I - 1001 x 300 x 19.05 x 36.07</v>
      </c>
      <c r="F111" s="25">
        <v>314.00175999999999</v>
      </c>
      <c r="G111" s="6">
        <v>1001</v>
      </c>
      <c r="H111" s="6">
        <v>300</v>
      </c>
      <c r="I111" s="6">
        <v>19.05</v>
      </c>
      <c r="J111" s="6">
        <v>36.07</v>
      </c>
      <c r="K111" s="6"/>
      <c r="L111" s="6">
        <v>40064.436000000002</v>
      </c>
      <c r="N111" s="5" t="str">
        <f t="shared" si="10"/>
        <v>I - 1001 x 300 x 20 x 40</v>
      </c>
      <c r="O111" s="25">
        <f t="shared" si="11"/>
        <v>332.99700000000001</v>
      </c>
      <c r="P111" s="6">
        <f t="shared" si="12"/>
        <v>1001</v>
      </c>
      <c r="Q111" s="6">
        <f t="shared" si="12"/>
        <v>300</v>
      </c>
      <c r="R111" s="6" cm="1">
        <f t="array" ref="R111">IF(I111-LOOKUP(I111, $Y$4:$Y$26) &lt;= 0.1, LOOKUP(I111, $Y$4:$Y$26), MIN(_xlfn._xlws.FILTER($Y$4:$Y$26, $Y$4:$Y$26&gt;=I111)))</f>
        <v>20</v>
      </c>
      <c r="S111" s="6" cm="1">
        <f t="array" ref="S111">IF(J111-LOOKUP(J111, $Y$4:$Y$26) &lt;= 0.1, LOOKUP(J111, $Y$4:$Y$26), MIN(_xlfn._xlws.FILTER($Y$4:$Y$26, $Y$4:$Y$26&gt;=J111)))</f>
        <v>40</v>
      </c>
    </row>
    <row r="112" spans="1:19" x14ac:dyDescent="0.25">
      <c r="A112" t="s">
        <v>501</v>
      </c>
      <c r="B112" s="11">
        <f t="shared" si="7"/>
        <v>272</v>
      </c>
      <c r="C112" s="11" t="str">
        <f t="shared" si="8"/>
        <v>I W40X272</v>
      </c>
      <c r="D112" s="5" t="s">
        <v>192</v>
      </c>
      <c r="E112" s="5" t="str">
        <f t="shared" si="9"/>
        <v>I - 991 x 300 x 16.51 x 30.48</v>
      </c>
      <c r="F112" s="25">
        <v>272.33328</v>
      </c>
      <c r="G112" s="6">
        <v>991</v>
      </c>
      <c r="H112" s="6">
        <v>300</v>
      </c>
      <c r="I112" s="6">
        <v>16.510000000000002</v>
      </c>
      <c r="J112" s="6">
        <v>30.48</v>
      </c>
      <c r="K112" s="6"/>
      <c r="L112" s="6">
        <v>34387.027999999998</v>
      </c>
      <c r="N112" s="5" t="str">
        <f t="shared" si="10"/>
        <v>I - 991 x 300 x 18 x 32</v>
      </c>
      <c r="O112" s="25">
        <f t="shared" si="11"/>
        <v>281.70510000000002</v>
      </c>
      <c r="P112" s="6">
        <f t="shared" si="12"/>
        <v>991</v>
      </c>
      <c r="Q112" s="6">
        <f t="shared" si="12"/>
        <v>300</v>
      </c>
      <c r="R112" s="6" cm="1">
        <f t="array" ref="R112">IF(I112-LOOKUP(I112, $Y$4:$Y$26) &lt;= 0.1, LOOKUP(I112, $Y$4:$Y$26), MIN(_xlfn._xlws.FILTER($Y$4:$Y$26, $Y$4:$Y$26&gt;=I112)))</f>
        <v>18</v>
      </c>
      <c r="S112" s="6" cm="1">
        <f t="array" ref="S112">IF(J112-LOOKUP(J112, $Y$4:$Y$26) &lt;= 0.1, LOOKUP(J112, $Y$4:$Y$26), MIN(_xlfn._xlws.FILTER($Y$4:$Y$26, $Y$4:$Y$26&gt;=J112)))</f>
        <v>32</v>
      </c>
    </row>
    <row r="113" spans="1:19" x14ac:dyDescent="0.25">
      <c r="A113" t="s">
        <v>501</v>
      </c>
      <c r="B113" s="11">
        <f t="shared" si="7"/>
        <v>249</v>
      </c>
      <c r="C113" s="11" t="str">
        <f t="shared" si="8"/>
        <v>I W40X249</v>
      </c>
      <c r="D113" s="5" t="s">
        <v>193</v>
      </c>
      <c r="E113" s="5" t="str">
        <f t="shared" si="9"/>
        <v>I - 981 x 300 x 16.51 x 26.17</v>
      </c>
      <c r="F113" s="25">
        <v>248.52271999999999</v>
      </c>
      <c r="G113" s="6">
        <v>981</v>
      </c>
      <c r="H113" s="6">
        <v>300</v>
      </c>
      <c r="I113" s="6">
        <v>16.510000000000002</v>
      </c>
      <c r="J113" s="6">
        <v>26.17</v>
      </c>
      <c r="K113" s="6"/>
      <c r="L113" s="6">
        <v>31806.387999999999</v>
      </c>
      <c r="N113" s="5" t="str">
        <f t="shared" si="10"/>
        <v>I - 981 x 300 x 18 x 28</v>
      </c>
      <c r="O113" s="25">
        <f t="shared" si="11"/>
        <v>262.58249999999998</v>
      </c>
      <c r="P113" s="6">
        <f t="shared" si="12"/>
        <v>981</v>
      </c>
      <c r="Q113" s="6">
        <f t="shared" si="12"/>
        <v>300</v>
      </c>
      <c r="R113" s="6" cm="1">
        <f t="array" ref="R113">IF(I113-LOOKUP(I113, $Y$4:$Y$26) &lt;= 0.1, LOOKUP(I113, $Y$4:$Y$26), MIN(_xlfn._xlws.FILTER($Y$4:$Y$26, $Y$4:$Y$26&gt;=I113)))</f>
        <v>18</v>
      </c>
      <c r="S113" s="6" cm="1">
        <f t="array" ref="S113">IF(J113-LOOKUP(J113, $Y$4:$Y$26) &lt;= 0.1, LOOKUP(J113, $Y$4:$Y$26), MIN(_xlfn._xlws.FILTER($Y$4:$Y$26, $Y$4:$Y$26&gt;=J113)))</f>
        <v>28</v>
      </c>
    </row>
    <row r="114" spans="1:19" x14ac:dyDescent="0.25">
      <c r="A114" t="s">
        <v>501</v>
      </c>
      <c r="B114" s="11">
        <f t="shared" si="7"/>
        <v>222</v>
      </c>
      <c r="C114" s="11" t="str">
        <f t="shared" si="8"/>
        <v>I W40X222</v>
      </c>
      <c r="D114" s="5" t="s">
        <v>194</v>
      </c>
      <c r="E114" s="5" t="str">
        <f t="shared" si="9"/>
        <v>I - 971 x 300 x 16.01 x 21.09</v>
      </c>
      <c r="F114" s="25">
        <v>221.73584</v>
      </c>
      <c r="G114" s="6">
        <v>971</v>
      </c>
      <c r="H114" s="6">
        <v>300</v>
      </c>
      <c r="I114" s="6">
        <v>16.010000000000002</v>
      </c>
      <c r="J114" s="6">
        <v>21.09</v>
      </c>
      <c r="K114" s="6"/>
      <c r="L114" s="6">
        <v>28258.007999999998</v>
      </c>
      <c r="N114" s="5" t="str">
        <f t="shared" si="10"/>
        <v>I - 971 x 300 x 16 x 22</v>
      </c>
      <c r="O114" s="25">
        <f t="shared" si="11"/>
        <v>220.05119999999999</v>
      </c>
      <c r="P114" s="6">
        <f t="shared" si="12"/>
        <v>971</v>
      </c>
      <c r="Q114" s="6">
        <f t="shared" si="12"/>
        <v>300</v>
      </c>
      <c r="R114" s="6" cm="1">
        <f t="array" ref="R114">IF(I114-LOOKUP(I114, $Y$4:$Y$26) &lt;= 0.1, LOOKUP(I114, $Y$4:$Y$26), MIN(_xlfn._xlws.FILTER($Y$4:$Y$26, $Y$4:$Y$26&gt;=I114)))</f>
        <v>16</v>
      </c>
      <c r="S114" s="6" cm="1">
        <f t="array" ref="S114">IF(J114-LOOKUP(J114, $Y$4:$Y$26) &lt;= 0.1, LOOKUP(J114, $Y$4:$Y$26), MIN(_xlfn._xlws.FILTER($Y$4:$Y$26, $Y$4:$Y$26&gt;=J114)))</f>
        <v>22</v>
      </c>
    </row>
    <row r="115" spans="1:19" x14ac:dyDescent="0.25">
      <c r="A115" t="s">
        <v>502</v>
      </c>
      <c r="B115" s="11">
        <f t="shared" si="7"/>
        <v>1377</v>
      </c>
      <c r="C115" s="11" t="str">
        <f t="shared" si="8"/>
        <v>I W36X1377</v>
      </c>
      <c r="D115" s="5" t="s">
        <v>195</v>
      </c>
      <c r="E115" s="5" t="str">
        <f t="shared" si="9"/>
        <v>I - 1095 x 473 x 76.71 x 115.07</v>
      </c>
      <c r="F115" s="25">
        <v>1376.548</v>
      </c>
      <c r="G115" s="6">
        <v>1095</v>
      </c>
      <c r="H115" s="6">
        <v>473</v>
      </c>
      <c r="I115" s="6">
        <v>76.710000000000008</v>
      </c>
      <c r="J115" s="6">
        <v>115.07000000000001</v>
      </c>
      <c r="K115" s="6"/>
      <c r="L115" s="6">
        <v>175483.51999999999</v>
      </c>
      <c r="N115" s="5" t="e" vm="1">
        <f t="shared" si="10"/>
        <v>#VALUE!</v>
      </c>
      <c r="O115" s="25" t="e" vm="1">
        <f t="shared" si="11"/>
        <v>#VALUE!</v>
      </c>
      <c r="P115" s="6">
        <f t="shared" si="12"/>
        <v>1095</v>
      </c>
      <c r="Q115" s="6">
        <f t="shared" si="12"/>
        <v>473</v>
      </c>
      <c r="R115" s="6" cm="1">
        <f t="array" ref="R115">IF(I115-LOOKUP(I115, $Y$4:$Y$26) &lt;= 0.1, LOOKUP(I115, $Y$4:$Y$26), MIN(_xlfn._xlws.FILTER($Y$4:$Y$26, $Y$4:$Y$26&gt;=I115)))</f>
        <v>80</v>
      </c>
      <c r="S115" s="6" t="e" cm="1" vm="2">
        <f t="array" ref="S115">IF(J115-LOOKUP(J115, $Y$4:$Y$26) &lt;= 0.1, LOOKUP(J115, $Y$4:$Y$26), MIN(_xlfn._xlws.FILTER($Y$4:$Y$26, $Y$4:$Y$26&gt;=J115)))</f>
        <v>#VALUE!</v>
      </c>
    </row>
    <row r="116" spans="1:19" x14ac:dyDescent="0.25">
      <c r="A116" t="s">
        <v>502</v>
      </c>
      <c r="B116" s="11">
        <f t="shared" si="7"/>
        <v>1269</v>
      </c>
      <c r="C116" s="11" t="str">
        <f t="shared" si="8"/>
        <v>I W36X1269</v>
      </c>
      <c r="D116" s="5" t="s">
        <v>196</v>
      </c>
      <c r="E116" s="5" t="str">
        <f t="shared" si="9"/>
        <v>I - 1095 x 463 x 64.01 x 115.07</v>
      </c>
      <c r="F116" s="25">
        <v>1269.40048</v>
      </c>
      <c r="G116" s="6">
        <v>1095</v>
      </c>
      <c r="H116" s="6">
        <v>463</v>
      </c>
      <c r="I116" s="6">
        <v>64.010000000000005</v>
      </c>
      <c r="J116" s="6">
        <v>115.07000000000001</v>
      </c>
      <c r="K116" s="6"/>
      <c r="L116" s="6">
        <v>161935.16</v>
      </c>
      <c r="N116" s="5" t="e" vm="1">
        <f t="shared" si="10"/>
        <v>#VALUE!</v>
      </c>
      <c r="O116" s="25" t="e" vm="1">
        <f t="shared" si="11"/>
        <v>#VALUE!</v>
      </c>
      <c r="P116" s="6">
        <f t="shared" si="12"/>
        <v>1095</v>
      </c>
      <c r="Q116" s="6">
        <f t="shared" si="12"/>
        <v>463</v>
      </c>
      <c r="R116" s="6" cm="1">
        <f t="array" ref="R116">IF(I116-LOOKUP(I116, $Y$4:$Y$26) &lt;= 0.1, LOOKUP(I116, $Y$4:$Y$26), MIN(_xlfn._xlws.FILTER($Y$4:$Y$26, $Y$4:$Y$26&gt;=I116)))</f>
        <v>70</v>
      </c>
      <c r="S116" s="6" t="e" cm="1" vm="2">
        <f t="array" ref="S116">IF(J116-LOOKUP(J116, $Y$4:$Y$26) &lt;= 0.1, LOOKUP(J116, $Y$4:$Y$26), MIN(_xlfn._xlws.FILTER($Y$4:$Y$26, $Y$4:$Y$26&gt;=J116)))</f>
        <v>#VALUE!</v>
      </c>
    </row>
    <row r="117" spans="1:19" x14ac:dyDescent="0.25">
      <c r="A117" t="s">
        <v>502</v>
      </c>
      <c r="B117" s="11">
        <f t="shared" si="7"/>
        <v>1194</v>
      </c>
      <c r="C117" s="11" t="str">
        <f t="shared" si="8"/>
        <v>I W36X1194</v>
      </c>
      <c r="D117" s="5" t="s">
        <v>197</v>
      </c>
      <c r="E117" s="5" t="str">
        <f t="shared" si="9"/>
        <v>I - 1083 x 458 x 60.46 x 108.97</v>
      </c>
      <c r="F117" s="25">
        <v>1193.50432</v>
      </c>
      <c r="G117" s="6">
        <v>1083</v>
      </c>
      <c r="H117" s="6">
        <v>458</v>
      </c>
      <c r="I117" s="6">
        <v>60.46</v>
      </c>
      <c r="J117" s="6">
        <v>108.97</v>
      </c>
      <c r="K117" s="6"/>
      <c r="L117" s="6">
        <v>152257.75999999998</v>
      </c>
      <c r="N117" s="5" t="e" vm="1">
        <f t="shared" si="10"/>
        <v>#VALUE!</v>
      </c>
      <c r="O117" s="25" t="e" vm="1">
        <f t="shared" si="11"/>
        <v>#VALUE!</v>
      </c>
      <c r="P117" s="6">
        <f t="shared" si="12"/>
        <v>1083</v>
      </c>
      <c r="Q117" s="6">
        <f t="shared" si="12"/>
        <v>458</v>
      </c>
      <c r="R117" s="6" cm="1">
        <f t="array" ref="R117">IF(I117-LOOKUP(I117, $Y$4:$Y$26) &lt;= 0.1, LOOKUP(I117, $Y$4:$Y$26), MIN(_xlfn._xlws.FILTER($Y$4:$Y$26, $Y$4:$Y$26&gt;=I117)))</f>
        <v>70</v>
      </c>
      <c r="S117" s="6" t="e" cm="1" vm="2">
        <f t="array" ref="S117">IF(J117-LOOKUP(J117, $Y$4:$Y$26) &lt;= 0.1, LOOKUP(J117, $Y$4:$Y$26), MIN(_xlfn._xlws.FILTER($Y$4:$Y$26, $Y$4:$Y$26&gt;=J117)))</f>
        <v>#VALUE!</v>
      </c>
    </row>
    <row r="118" spans="1:19" x14ac:dyDescent="0.25">
      <c r="A118" t="s">
        <v>502</v>
      </c>
      <c r="B118" s="11">
        <f t="shared" si="7"/>
        <v>1076</v>
      </c>
      <c r="C118" s="11" t="str">
        <f t="shared" si="8"/>
        <v>I W36X1076</v>
      </c>
      <c r="D118" s="5" t="s">
        <v>198</v>
      </c>
      <c r="E118" s="5" t="str">
        <f t="shared" si="9"/>
        <v>I - 1062 x 453 x 55.12 x 99.06</v>
      </c>
      <c r="F118" s="25">
        <v>1075.93968</v>
      </c>
      <c r="G118" s="6">
        <v>1062</v>
      </c>
      <c r="H118" s="6">
        <v>453</v>
      </c>
      <c r="I118" s="6">
        <v>55.12</v>
      </c>
      <c r="J118" s="6">
        <v>99.06</v>
      </c>
      <c r="K118" s="6"/>
      <c r="L118" s="6">
        <v>137419.07999999999</v>
      </c>
      <c r="N118" s="5" t="e" vm="1">
        <f t="shared" si="10"/>
        <v>#VALUE!</v>
      </c>
      <c r="O118" s="25" t="e" vm="1">
        <f t="shared" si="11"/>
        <v>#VALUE!</v>
      </c>
      <c r="P118" s="6">
        <f t="shared" si="12"/>
        <v>1062</v>
      </c>
      <c r="Q118" s="6">
        <f t="shared" si="12"/>
        <v>453</v>
      </c>
      <c r="R118" s="6" cm="1">
        <f t="array" ref="R118">IF(I118-LOOKUP(I118, $Y$4:$Y$26) &lt;= 0.1, LOOKUP(I118, $Y$4:$Y$26), MIN(_xlfn._xlws.FILTER($Y$4:$Y$26, $Y$4:$Y$26&gt;=I118)))</f>
        <v>60</v>
      </c>
      <c r="S118" s="6" t="e" cm="1" vm="2">
        <f t="array" ref="S118">IF(J118-LOOKUP(J118, $Y$4:$Y$26) &lt;= 0.1, LOOKUP(J118, $Y$4:$Y$26), MIN(_xlfn._xlws.FILTER($Y$4:$Y$26, $Y$4:$Y$26&gt;=J118)))</f>
        <v>#VALUE!</v>
      </c>
    </row>
    <row r="119" spans="1:19" x14ac:dyDescent="0.25">
      <c r="A119" t="s">
        <v>502</v>
      </c>
      <c r="B119" s="11">
        <f t="shared" si="7"/>
        <v>970</v>
      </c>
      <c r="C119" s="11" t="str">
        <f t="shared" si="8"/>
        <v>I W36X970</v>
      </c>
      <c r="D119" s="5" t="s">
        <v>199</v>
      </c>
      <c r="E119" s="5" t="str">
        <f t="shared" si="9"/>
        <v>I - 1044 x 448 x 50.04 x 89.92</v>
      </c>
      <c r="F119" s="25">
        <v>970.28031999999996</v>
      </c>
      <c r="G119" s="6">
        <v>1044</v>
      </c>
      <c r="H119" s="6">
        <v>448</v>
      </c>
      <c r="I119" s="6">
        <v>50.04</v>
      </c>
      <c r="J119" s="6">
        <v>89.92</v>
      </c>
      <c r="K119" s="6"/>
      <c r="L119" s="6">
        <v>123870.71999999999</v>
      </c>
      <c r="N119" s="5" t="str">
        <f t="shared" si="10"/>
        <v>I - 1044 x 448 x 50 x 90</v>
      </c>
      <c r="O119" s="25">
        <f t="shared" si="11"/>
        <v>972.14400000000001</v>
      </c>
      <c r="P119" s="6">
        <f t="shared" si="12"/>
        <v>1044</v>
      </c>
      <c r="Q119" s="6">
        <f t="shared" si="12"/>
        <v>448</v>
      </c>
      <c r="R119" s="6" cm="1">
        <f t="array" ref="R119">IF(I119-LOOKUP(I119, $Y$4:$Y$26) &lt;= 0.1, LOOKUP(I119, $Y$4:$Y$26), MIN(_xlfn._xlws.FILTER($Y$4:$Y$26, $Y$4:$Y$26&gt;=I119)))</f>
        <v>50</v>
      </c>
      <c r="S119" s="6" cm="1">
        <f t="array" ref="S119">IF(J119-LOOKUP(J119, $Y$4:$Y$26) &lt;= 0.1, LOOKUP(J119, $Y$4:$Y$26), MIN(_xlfn._xlws.FILTER($Y$4:$Y$26, $Y$4:$Y$26&gt;=J119)))</f>
        <v>90</v>
      </c>
    </row>
    <row r="120" spans="1:19" x14ac:dyDescent="0.25">
      <c r="A120" t="s">
        <v>502</v>
      </c>
      <c r="B120" s="11">
        <f t="shared" si="7"/>
        <v>787</v>
      </c>
      <c r="C120" s="11" t="str">
        <f t="shared" si="8"/>
        <v>I W36X787</v>
      </c>
      <c r="D120" s="5" t="s">
        <v>200</v>
      </c>
      <c r="E120" s="5" t="str">
        <f t="shared" si="9"/>
        <v>I - 1011 x 437 x 40.9 x 73.92</v>
      </c>
      <c r="F120" s="25">
        <v>787.23663999999997</v>
      </c>
      <c r="G120" s="6">
        <v>1011</v>
      </c>
      <c r="H120" s="6">
        <v>437</v>
      </c>
      <c r="I120" s="6">
        <v>40.9</v>
      </c>
      <c r="J120" s="6">
        <v>73.92</v>
      </c>
      <c r="K120" s="6"/>
      <c r="L120" s="6">
        <v>100644.95999999999</v>
      </c>
      <c r="N120" s="5" t="str">
        <f t="shared" si="10"/>
        <v>I - 1011 x 437 x 45 x 80</v>
      </c>
      <c r="O120" s="25">
        <f t="shared" si="11"/>
        <v>849.48775000000001</v>
      </c>
      <c r="P120" s="6">
        <f t="shared" si="12"/>
        <v>1011</v>
      </c>
      <c r="Q120" s="6">
        <f t="shared" si="12"/>
        <v>437</v>
      </c>
      <c r="R120" s="6" cm="1">
        <f t="array" ref="R120">IF(I120-LOOKUP(I120, $Y$4:$Y$26) &lt;= 0.1, LOOKUP(I120, $Y$4:$Y$26), MIN(_xlfn._xlws.FILTER($Y$4:$Y$26, $Y$4:$Y$26&gt;=I120)))</f>
        <v>45</v>
      </c>
      <c r="S120" s="6" cm="1">
        <f t="array" ref="S120">IF(J120-LOOKUP(J120, $Y$4:$Y$26) &lt;= 0.1, LOOKUP(J120, $Y$4:$Y$26), MIN(_xlfn._xlws.FILTER($Y$4:$Y$26, $Y$4:$Y$26&gt;=J120)))</f>
        <v>80</v>
      </c>
    </row>
    <row r="121" spans="1:19" x14ac:dyDescent="0.25">
      <c r="A121" t="s">
        <v>502</v>
      </c>
      <c r="B121" s="11">
        <f t="shared" si="7"/>
        <v>725</v>
      </c>
      <c r="C121" s="11" t="str">
        <f t="shared" si="8"/>
        <v>I W36X725</v>
      </c>
      <c r="D121" s="5" t="s">
        <v>201</v>
      </c>
      <c r="E121" s="5" t="str">
        <f t="shared" si="9"/>
        <v>I - 999 x 435 x 38.1 x 68.08</v>
      </c>
      <c r="F121" s="25">
        <v>724.73392000000001</v>
      </c>
      <c r="G121" s="6">
        <v>999</v>
      </c>
      <c r="H121" s="6">
        <v>435</v>
      </c>
      <c r="I121" s="6">
        <v>38.1</v>
      </c>
      <c r="J121" s="6">
        <v>68.08</v>
      </c>
      <c r="K121" s="6"/>
      <c r="L121" s="6">
        <v>92257.88</v>
      </c>
      <c r="N121" s="5" t="str">
        <f t="shared" si="10"/>
        <v>I - 999 x 435 x 40 x 70</v>
      </c>
      <c r="O121" s="25">
        <f t="shared" si="11"/>
        <v>747.79100000000005</v>
      </c>
      <c r="P121" s="6">
        <f t="shared" si="12"/>
        <v>999</v>
      </c>
      <c r="Q121" s="6">
        <f t="shared" si="12"/>
        <v>435</v>
      </c>
      <c r="R121" s="6" cm="1">
        <f t="array" ref="R121">IF(I121-LOOKUP(I121, $Y$4:$Y$26) &lt;= 0.1, LOOKUP(I121, $Y$4:$Y$26), MIN(_xlfn._xlws.FILTER($Y$4:$Y$26, $Y$4:$Y$26&gt;=I121)))</f>
        <v>40</v>
      </c>
      <c r="S121" s="6" cm="1">
        <f t="array" ref="S121">IF(J121-LOOKUP(J121, $Y$4:$Y$26) &lt;= 0.1, LOOKUP(J121, $Y$4:$Y$26), MIN(_xlfn._xlws.FILTER($Y$4:$Y$26, $Y$4:$Y$26&gt;=J121)))</f>
        <v>70</v>
      </c>
    </row>
    <row r="122" spans="1:19" x14ac:dyDescent="0.25">
      <c r="A122" t="s">
        <v>502</v>
      </c>
      <c r="B122" s="11">
        <f t="shared" si="7"/>
        <v>656</v>
      </c>
      <c r="C122" s="11" t="str">
        <f t="shared" si="8"/>
        <v>I W36X656</v>
      </c>
      <c r="D122" s="5" t="s">
        <v>202</v>
      </c>
      <c r="E122" s="5" t="str">
        <f t="shared" si="9"/>
        <v>I - 989 x 432 x 34.55 x 61.98</v>
      </c>
      <c r="F122" s="25">
        <v>656.27855999999997</v>
      </c>
      <c r="G122" s="6">
        <v>989</v>
      </c>
      <c r="H122" s="6">
        <v>432</v>
      </c>
      <c r="I122" s="6">
        <v>34.549999999999997</v>
      </c>
      <c r="J122" s="6">
        <v>61.98</v>
      </c>
      <c r="K122" s="6"/>
      <c r="L122" s="6">
        <v>83870.799999999988</v>
      </c>
      <c r="N122" s="5" t="str">
        <f t="shared" si="10"/>
        <v>I - 989 x 432 x 35 x 70</v>
      </c>
      <c r="O122" s="25">
        <f t="shared" si="11"/>
        <v>708.03075000000001</v>
      </c>
      <c r="P122" s="6">
        <f t="shared" si="12"/>
        <v>989</v>
      </c>
      <c r="Q122" s="6">
        <f t="shared" si="12"/>
        <v>432</v>
      </c>
      <c r="R122" s="6" cm="1">
        <f t="array" ref="R122">IF(I122-LOOKUP(I122, $Y$4:$Y$26) &lt;= 0.1, LOOKUP(I122, $Y$4:$Y$26), MIN(_xlfn._xlws.FILTER($Y$4:$Y$26, $Y$4:$Y$26&gt;=I122)))</f>
        <v>35</v>
      </c>
      <c r="S122" s="6" cm="1">
        <f t="array" ref="S122">IF(J122-LOOKUP(J122, $Y$4:$Y$26) &lt;= 0.1, LOOKUP(J122, $Y$4:$Y$26), MIN(_xlfn._xlws.FILTER($Y$4:$Y$26, $Y$4:$Y$26&gt;=J122)))</f>
        <v>70</v>
      </c>
    </row>
    <row r="123" spans="1:19" x14ac:dyDescent="0.25">
      <c r="A123" t="s">
        <v>502</v>
      </c>
      <c r="B123" s="11">
        <f t="shared" si="7"/>
        <v>588</v>
      </c>
      <c r="C123" s="11" t="str">
        <f t="shared" si="8"/>
        <v>I W36X588</v>
      </c>
      <c r="D123" s="5" t="s">
        <v>203</v>
      </c>
      <c r="E123" s="5" t="str">
        <f t="shared" si="9"/>
        <v>I - 976 x 427 x 30.99 x 55.88</v>
      </c>
      <c r="F123" s="25">
        <v>587.82319999999993</v>
      </c>
      <c r="G123" s="6">
        <v>976</v>
      </c>
      <c r="H123" s="6">
        <v>427</v>
      </c>
      <c r="I123" s="6">
        <v>30.990000000000002</v>
      </c>
      <c r="J123" s="6">
        <v>55.88</v>
      </c>
      <c r="K123" s="6"/>
      <c r="L123" s="6">
        <v>74838.559999999998</v>
      </c>
      <c r="N123" s="5" t="str">
        <f t="shared" si="10"/>
        <v>I - 976 x 427 x 32 x 60</v>
      </c>
      <c r="O123" s="25">
        <f t="shared" si="11"/>
        <v>617.26120000000003</v>
      </c>
      <c r="P123" s="6">
        <f t="shared" si="12"/>
        <v>976</v>
      </c>
      <c r="Q123" s="6">
        <f t="shared" si="12"/>
        <v>427</v>
      </c>
      <c r="R123" s="6" cm="1">
        <f t="array" ref="R123">IF(I123-LOOKUP(I123, $Y$4:$Y$26) &lt;= 0.1, LOOKUP(I123, $Y$4:$Y$26), MIN(_xlfn._xlws.FILTER($Y$4:$Y$26, $Y$4:$Y$26&gt;=I123)))</f>
        <v>32</v>
      </c>
      <c r="S123" s="6" cm="1">
        <f t="array" ref="S123">IF(J123-LOOKUP(J123, $Y$4:$Y$26) &lt;= 0.1, LOOKUP(J123, $Y$4:$Y$26), MIN(_xlfn._xlws.FILTER($Y$4:$Y$26, $Y$4:$Y$26&gt;=J123)))</f>
        <v>60</v>
      </c>
    </row>
    <row r="124" spans="1:19" x14ac:dyDescent="0.25">
      <c r="A124" t="s">
        <v>502</v>
      </c>
      <c r="B124" s="11">
        <f t="shared" si="7"/>
        <v>537</v>
      </c>
      <c r="C124" s="11" t="str">
        <f t="shared" si="8"/>
        <v>I W36X537</v>
      </c>
      <c r="D124" s="5" t="s">
        <v>204</v>
      </c>
      <c r="E124" s="5" t="str">
        <f t="shared" si="9"/>
        <v>I - 966 x 425 x 28.45 x 51.06</v>
      </c>
      <c r="F124" s="25">
        <v>537.22575999999992</v>
      </c>
      <c r="G124" s="6">
        <v>966</v>
      </c>
      <c r="H124" s="6">
        <v>425</v>
      </c>
      <c r="I124" s="6">
        <v>28.450000000000003</v>
      </c>
      <c r="J124" s="6">
        <v>51.059999999999995</v>
      </c>
      <c r="K124" s="6"/>
      <c r="L124" s="6">
        <v>68386.959999999992</v>
      </c>
      <c r="N124" s="5" t="str">
        <f t="shared" si="10"/>
        <v>I - 966 x 425 x 30 x 60</v>
      </c>
      <c r="O124" s="25">
        <f t="shared" si="11"/>
        <v>599.58299999999997</v>
      </c>
      <c r="P124" s="6">
        <f t="shared" si="12"/>
        <v>966</v>
      </c>
      <c r="Q124" s="6">
        <f t="shared" si="12"/>
        <v>425</v>
      </c>
      <c r="R124" s="6" cm="1">
        <f t="array" ref="R124">IF(I124-LOOKUP(I124, $Y$4:$Y$26) &lt;= 0.1, LOOKUP(I124, $Y$4:$Y$26), MIN(_xlfn._xlws.FILTER($Y$4:$Y$26, $Y$4:$Y$26&gt;=I124)))</f>
        <v>30</v>
      </c>
      <c r="S124" s="6" cm="1">
        <f t="array" ref="S124">IF(J124-LOOKUP(J124, $Y$4:$Y$26) &lt;= 0.1, LOOKUP(J124, $Y$4:$Y$26), MIN(_xlfn._xlws.FILTER($Y$4:$Y$26, $Y$4:$Y$26&gt;=J124)))</f>
        <v>60</v>
      </c>
    </row>
    <row r="125" spans="1:19" x14ac:dyDescent="0.25">
      <c r="A125" t="s">
        <v>502</v>
      </c>
      <c r="B125" s="11">
        <f t="shared" si="7"/>
        <v>491</v>
      </c>
      <c r="C125" s="11" t="str">
        <f t="shared" si="8"/>
        <v>I W36X491</v>
      </c>
      <c r="D125" s="5" t="s">
        <v>205</v>
      </c>
      <c r="E125" s="5" t="str">
        <f t="shared" si="9"/>
        <v>I - 958 x 422 x 25.91 x 46.99</v>
      </c>
      <c r="F125" s="25">
        <v>491.09279999999995</v>
      </c>
      <c r="G125" s="6">
        <v>958</v>
      </c>
      <c r="H125" s="6">
        <v>422</v>
      </c>
      <c r="I125" s="6">
        <v>25.91</v>
      </c>
      <c r="J125" s="6">
        <v>46.99</v>
      </c>
      <c r="K125" s="6"/>
      <c r="L125" s="6">
        <v>62516.004000000001</v>
      </c>
      <c r="N125" s="5" t="str">
        <f t="shared" si="10"/>
        <v>I - 958 x 422 x 28 x 50</v>
      </c>
      <c r="O125" s="25">
        <f t="shared" si="11"/>
        <v>519.85839999999996</v>
      </c>
      <c r="P125" s="6">
        <f t="shared" si="12"/>
        <v>958</v>
      </c>
      <c r="Q125" s="6">
        <f t="shared" si="12"/>
        <v>422</v>
      </c>
      <c r="R125" s="6" cm="1">
        <f t="array" ref="R125">IF(I125-LOOKUP(I125, $Y$4:$Y$26) &lt;= 0.1, LOOKUP(I125, $Y$4:$Y$26), MIN(_xlfn._xlws.FILTER($Y$4:$Y$26, $Y$4:$Y$26&gt;=I125)))</f>
        <v>28</v>
      </c>
      <c r="S125" s="6" cm="1">
        <f t="array" ref="S125">IF(J125-LOOKUP(J125, $Y$4:$Y$26) &lt;= 0.1, LOOKUP(J125, $Y$4:$Y$26), MIN(_xlfn._xlws.FILTER($Y$4:$Y$26, $Y$4:$Y$26&gt;=J125)))</f>
        <v>50</v>
      </c>
    </row>
    <row r="126" spans="1:19" x14ac:dyDescent="0.25">
      <c r="A126" t="s">
        <v>502</v>
      </c>
      <c r="B126" s="11">
        <f t="shared" si="7"/>
        <v>449</v>
      </c>
      <c r="C126" s="11" t="str">
        <f t="shared" si="8"/>
        <v>I W36X449</v>
      </c>
      <c r="D126" s="5" t="s">
        <v>206</v>
      </c>
      <c r="E126" s="5" t="str">
        <f t="shared" si="9"/>
        <v>I - 948 x 425 x 24.01 x 42.68</v>
      </c>
      <c r="F126" s="25">
        <v>449.42431999999997</v>
      </c>
      <c r="G126" s="6">
        <v>948</v>
      </c>
      <c r="H126" s="6">
        <v>425</v>
      </c>
      <c r="I126" s="6">
        <v>24.01</v>
      </c>
      <c r="J126" s="6">
        <v>42.68</v>
      </c>
      <c r="K126" s="6"/>
      <c r="L126" s="6">
        <v>57419.24</v>
      </c>
      <c r="N126" s="5" t="str">
        <f t="shared" si="10"/>
        <v>I - 948 x 425 x 25 x 45</v>
      </c>
      <c r="O126" s="25">
        <f t="shared" si="11"/>
        <v>468.64499999999998</v>
      </c>
      <c r="P126" s="6">
        <f t="shared" si="12"/>
        <v>948</v>
      </c>
      <c r="Q126" s="6">
        <f t="shared" si="12"/>
        <v>425</v>
      </c>
      <c r="R126" s="6" cm="1">
        <f t="array" ref="R126">IF(I126-LOOKUP(I126, $Y$4:$Y$26) &lt;= 0.1, LOOKUP(I126, $Y$4:$Y$26), MIN(_xlfn._xlws.FILTER($Y$4:$Y$26, $Y$4:$Y$26&gt;=I126)))</f>
        <v>25</v>
      </c>
      <c r="S126" s="6" cm="1">
        <f t="array" ref="S126">IF(J126-LOOKUP(J126, $Y$4:$Y$26) &lt;= 0.1, LOOKUP(J126, $Y$4:$Y$26), MIN(_xlfn._xlws.FILTER($Y$4:$Y$26, $Y$4:$Y$26&gt;=J126)))</f>
        <v>45</v>
      </c>
    </row>
    <row r="127" spans="1:19" x14ac:dyDescent="0.25">
      <c r="A127" t="s">
        <v>502</v>
      </c>
      <c r="B127" s="11">
        <f t="shared" si="7"/>
        <v>420</v>
      </c>
      <c r="C127" s="11" t="str">
        <f t="shared" si="8"/>
        <v>I W36X420</v>
      </c>
      <c r="D127" s="5" t="s">
        <v>207</v>
      </c>
      <c r="E127" s="5" t="str">
        <f t="shared" si="9"/>
        <v>I - 943 x 422 x 22.48 x 39.88</v>
      </c>
      <c r="F127" s="25">
        <v>419.66111999999998</v>
      </c>
      <c r="G127" s="6">
        <v>943</v>
      </c>
      <c r="H127" s="6">
        <v>422</v>
      </c>
      <c r="I127" s="6">
        <v>22.48</v>
      </c>
      <c r="J127" s="6">
        <v>39.879999999999995</v>
      </c>
      <c r="K127" s="6"/>
      <c r="L127" s="6">
        <v>53483.764000000003</v>
      </c>
      <c r="N127" s="5" t="str">
        <f t="shared" si="10"/>
        <v>I - 943 x 422 x 25 x 40</v>
      </c>
      <c r="O127" s="25">
        <f t="shared" si="11"/>
        <v>434.37975</v>
      </c>
      <c r="P127" s="6">
        <f t="shared" si="12"/>
        <v>943</v>
      </c>
      <c r="Q127" s="6">
        <f t="shared" si="12"/>
        <v>422</v>
      </c>
      <c r="R127" s="6" cm="1">
        <f t="array" ref="R127">IF(I127-LOOKUP(I127, $Y$4:$Y$26) &lt;= 0.1, LOOKUP(I127, $Y$4:$Y$26), MIN(_xlfn._xlws.FILTER($Y$4:$Y$26, $Y$4:$Y$26&gt;=I127)))</f>
        <v>25</v>
      </c>
      <c r="S127" s="6" cm="1">
        <f t="array" ref="S127">IF(J127-LOOKUP(J127, $Y$4:$Y$26) &lt;= 0.1, LOOKUP(J127, $Y$4:$Y$26), MIN(_xlfn._xlws.FILTER($Y$4:$Y$26, $Y$4:$Y$26&gt;=J127)))</f>
        <v>40</v>
      </c>
    </row>
    <row r="128" spans="1:19" x14ac:dyDescent="0.25">
      <c r="A128" t="s">
        <v>502</v>
      </c>
      <c r="B128" s="11">
        <f t="shared" si="7"/>
        <v>390</v>
      </c>
      <c r="C128" s="11" t="str">
        <f t="shared" si="8"/>
        <v>I W36X390</v>
      </c>
      <c r="D128" s="5" t="s">
        <v>208</v>
      </c>
      <c r="E128" s="5" t="str">
        <f t="shared" si="9"/>
        <v>I - 938 x 422 x 21.34 x 36.58</v>
      </c>
      <c r="F128" s="25">
        <v>389.89792</v>
      </c>
      <c r="G128" s="6">
        <v>938</v>
      </c>
      <c r="H128" s="6">
        <v>422</v>
      </c>
      <c r="I128" s="6">
        <v>21.34</v>
      </c>
      <c r="J128" s="6">
        <v>36.58</v>
      </c>
      <c r="K128" s="6"/>
      <c r="L128" s="6">
        <v>49806.351999999999</v>
      </c>
      <c r="N128" s="5" t="str">
        <f t="shared" si="10"/>
        <v>I - 938 x 422 x 22 x 40</v>
      </c>
      <c r="O128" s="25">
        <f t="shared" si="11"/>
        <v>413.19260000000003</v>
      </c>
      <c r="P128" s="6">
        <f t="shared" si="12"/>
        <v>938</v>
      </c>
      <c r="Q128" s="6">
        <f t="shared" si="12"/>
        <v>422</v>
      </c>
      <c r="R128" s="6" cm="1">
        <f t="array" ref="R128">IF(I128-LOOKUP(I128, $Y$4:$Y$26) &lt;= 0.1, LOOKUP(I128, $Y$4:$Y$26), MIN(_xlfn._xlws.FILTER($Y$4:$Y$26, $Y$4:$Y$26&gt;=I128)))</f>
        <v>22</v>
      </c>
      <c r="S128" s="6" cm="1">
        <f t="array" ref="S128">IF(J128-LOOKUP(J128, $Y$4:$Y$26) &lt;= 0.1, LOOKUP(J128, $Y$4:$Y$26), MIN(_xlfn._xlws.FILTER($Y$4:$Y$26, $Y$4:$Y$26&gt;=J128)))</f>
        <v>40</v>
      </c>
    </row>
    <row r="129" spans="1:19" x14ac:dyDescent="0.25">
      <c r="A129" t="s">
        <v>502</v>
      </c>
      <c r="B129" s="11">
        <f t="shared" si="7"/>
        <v>368</v>
      </c>
      <c r="C129" s="11" t="str">
        <f t="shared" si="8"/>
        <v>I W36X368</v>
      </c>
      <c r="D129" s="5" t="s">
        <v>209</v>
      </c>
      <c r="E129" s="5" t="str">
        <f t="shared" si="9"/>
        <v>I - 933 x 420 x 20.32 x 34.29</v>
      </c>
      <c r="F129" s="25">
        <v>367.57551999999998</v>
      </c>
      <c r="G129" s="6">
        <v>933</v>
      </c>
      <c r="H129" s="6">
        <v>420</v>
      </c>
      <c r="I129" s="6">
        <v>20.32</v>
      </c>
      <c r="J129" s="6">
        <v>34.29</v>
      </c>
      <c r="K129" s="6"/>
      <c r="L129" s="6">
        <v>46774.1</v>
      </c>
      <c r="N129" s="5" t="str">
        <f t="shared" si="10"/>
        <v>I - 933 x 420 x 22 x 35</v>
      </c>
      <c r="O129" s="25">
        <f t="shared" si="11"/>
        <v>379.83010000000002</v>
      </c>
      <c r="P129" s="6">
        <f t="shared" si="12"/>
        <v>933</v>
      </c>
      <c r="Q129" s="6">
        <f t="shared" si="12"/>
        <v>420</v>
      </c>
      <c r="R129" s="6" cm="1">
        <f t="array" ref="R129">IF(I129-LOOKUP(I129, $Y$4:$Y$26) &lt;= 0.1, LOOKUP(I129, $Y$4:$Y$26), MIN(_xlfn._xlws.FILTER($Y$4:$Y$26, $Y$4:$Y$26&gt;=I129)))</f>
        <v>22</v>
      </c>
      <c r="S129" s="6" cm="1">
        <f t="array" ref="S129">IF(J129-LOOKUP(J129, $Y$4:$Y$26) &lt;= 0.1, LOOKUP(J129, $Y$4:$Y$26), MIN(_xlfn._xlws.FILTER($Y$4:$Y$26, $Y$4:$Y$26&gt;=J129)))</f>
        <v>35</v>
      </c>
    </row>
    <row r="130" spans="1:19" x14ac:dyDescent="0.25">
      <c r="A130" t="s">
        <v>502</v>
      </c>
      <c r="B130" s="11">
        <f t="shared" si="7"/>
        <v>344</v>
      </c>
      <c r="C130" s="11" t="str">
        <f t="shared" si="8"/>
        <v>I W36X344</v>
      </c>
      <c r="D130" s="5" t="s">
        <v>210</v>
      </c>
      <c r="E130" s="5" t="str">
        <f t="shared" si="9"/>
        <v>I - 928 x 420 x 19.31 x 32.01</v>
      </c>
      <c r="F130" s="25">
        <v>343.76495999999997</v>
      </c>
      <c r="G130" s="6">
        <v>928</v>
      </c>
      <c r="H130" s="6">
        <v>420</v>
      </c>
      <c r="I130" s="6">
        <v>19.310000000000002</v>
      </c>
      <c r="J130" s="6">
        <v>32.01</v>
      </c>
      <c r="K130" s="6"/>
      <c r="L130" s="6">
        <v>43999.912000000004</v>
      </c>
      <c r="N130" s="5" t="str">
        <f t="shared" si="10"/>
        <v>I - 928 x 420 x 20 x 32</v>
      </c>
      <c r="O130" s="25">
        <f t="shared" si="11"/>
        <v>346.65600000000001</v>
      </c>
      <c r="P130" s="6">
        <f t="shared" si="12"/>
        <v>928</v>
      </c>
      <c r="Q130" s="6">
        <f t="shared" si="12"/>
        <v>420</v>
      </c>
      <c r="R130" s="6" cm="1">
        <f t="array" ref="R130">IF(I130-LOOKUP(I130, $Y$4:$Y$26) &lt;= 0.1, LOOKUP(I130, $Y$4:$Y$26), MIN(_xlfn._xlws.FILTER($Y$4:$Y$26, $Y$4:$Y$26&gt;=I130)))</f>
        <v>20</v>
      </c>
      <c r="S130" s="6" cm="1">
        <f t="array" ref="S130">IF(J130-LOOKUP(J130, $Y$4:$Y$26) &lt;= 0.1, LOOKUP(J130, $Y$4:$Y$26), MIN(_xlfn._xlws.FILTER($Y$4:$Y$26, $Y$4:$Y$26&gt;=J130)))</f>
        <v>32</v>
      </c>
    </row>
    <row r="131" spans="1:19" x14ac:dyDescent="0.25">
      <c r="A131" t="s">
        <v>502</v>
      </c>
      <c r="B131" s="11">
        <f t="shared" si="7"/>
        <v>381</v>
      </c>
      <c r="C131" s="11" t="str">
        <f t="shared" si="8"/>
        <v>I W36X381</v>
      </c>
      <c r="D131" s="5" t="s">
        <v>211</v>
      </c>
      <c r="E131" s="5" t="str">
        <f t="shared" si="9"/>
        <v>I - 950 x 310 x 24.39 x 43.95</v>
      </c>
      <c r="F131" s="25">
        <v>380.96895999999998</v>
      </c>
      <c r="G131" s="6">
        <v>950</v>
      </c>
      <c r="H131" s="6">
        <v>310</v>
      </c>
      <c r="I131" s="6">
        <v>24.39</v>
      </c>
      <c r="J131" s="6">
        <v>43.949999999999996</v>
      </c>
      <c r="K131" s="6"/>
      <c r="L131" s="6">
        <v>48580.547999999995</v>
      </c>
      <c r="N131" s="5" t="str">
        <f t="shared" si="10"/>
        <v>I - 950 x 310 x 25 x 45</v>
      </c>
      <c r="O131" s="25">
        <f t="shared" si="11"/>
        <v>387.79</v>
      </c>
      <c r="P131" s="6">
        <f t="shared" si="12"/>
        <v>950</v>
      </c>
      <c r="Q131" s="6">
        <f t="shared" si="12"/>
        <v>310</v>
      </c>
      <c r="R131" s="6" cm="1">
        <f t="array" ref="R131">IF(I131-LOOKUP(I131, $Y$4:$Y$26) &lt;= 0.1, LOOKUP(I131, $Y$4:$Y$26), MIN(_xlfn._xlws.FILTER($Y$4:$Y$26, $Y$4:$Y$26&gt;=I131)))</f>
        <v>25</v>
      </c>
      <c r="S131" s="6" cm="1">
        <f t="array" ref="S131">IF(J131-LOOKUP(J131, $Y$4:$Y$26) &lt;= 0.1, LOOKUP(J131, $Y$4:$Y$26), MIN(_xlfn._xlws.FILTER($Y$4:$Y$26, $Y$4:$Y$26&gt;=J131)))</f>
        <v>45</v>
      </c>
    </row>
    <row r="132" spans="1:19" x14ac:dyDescent="0.25">
      <c r="A132" t="s">
        <v>502</v>
      </c>
      <c r="B132" s="11">
        <f t="shared" si="7"/>
        <v>345</v>
      </c>
      <c r="C132" s="11" t="str">
        <f t="shared" si="8"/>
        <v>I W36X345</v>
      </c>
      <c r="D132" s="5" t="s">
        <v>212</v>
      </c>
      <c r="E132" s="5" t="str">
        <f t="shared" si="9"/>
        <v>I - 943 x 308 x 22.1 x 39.88</v>
      </c>
      <c r="F132" s="25">
        <v>345.25311999999997</v>
      </c>
      <c r="G132" s="6">
        <v>943</v>
      </c>
      <c r="H132" s="6">
        <v>308</v>
      </c>
      <c r="I132" s="6">
        <v>22.1</v>
      </c>
      <c r="J132" s="6">
        <v>39.879999999999995</v>
      </c>
      <c r="K132" s="6"/>
      <c r="L132" s="6">
        <v>43870.879999999997</v>
      </c>
      <c r="N132" s="5" t="str">
        <f t="shared" si="10"/>
        <v>I - 943 x 308 x 25 x 40</v>
      </c>
      <c r="O132" s="25">
        <f t="shared" si="11"/>
        <v>362.78775000000002</v>
      </c>
      <c r="P132" s="6">
        <f t="shared" si="12"/>
        <v>943</v>
      </c>
      <c r="Q132" s="6">
        <f t="shared" si="12"/>
        <v>308</v>
      </c>
      <c r="R132" s="6" cm="1">
        <f t="array" ref="R132">IF(I132-LOOKUP(I132, $Y$4:$Y$26) &lt;= 0.1, LOOKUP(I132, $Y$4:$Y$26), MIN(_xlfn._xlws.FILTER($Y$4:$Y$26, $Y$4:$Y$26&gt;=I132)))</f>
        <v>25</v>
      </c>
      <c r="S132" s="6" cm="1">
        <f t="array" ref="S132">IF(J132-LOOKUP(J132, $Y$4:$Y$26) &lt;= 0.1, LOOKUP(J132, $Y$4:$Y$26), MIN(_xlfn._xlws.FILTER($Y$4:$Y$26, $Y$4:$Y$26&gt;=J132)))</f>
        <v>40</v>
      </c>
    </row>
    <row r="133" spans="1:19" x14ac:dyDescent="0.25">
      <c r="A133" t="s">
        <v>502</v>
      </c>
      <c r="B133" s="11">
        <f t="shared" si="7"/>
        <v>313</v>
      </c>
      <c r="C133" s="11" t="str">
        <f t="shared" si="8"/>
        <v>I W36X313</v>
      </c>
      <c r="D133" s="5" t="s">
        <v>213</v>
      </c>
      <c r="E133" s="5" t="str">
        <f t="shared" si="9"/>
        <v>I - 933 x 310 x 21.09 x 34.55</v>
      </c>
      <c r="F133" s="25">
        <v>312.5136</v>
      </c>
      <c r="G133" s="6">
        <v>933</v>
      </c>
      <c r="H133" s="6">
        <v>310</v>
      </c>
      <c r="I133" s="6">
        <v>21.09</v>
      </c>
      <c r="J133" s="6">
        <v>34.549999999999997</v>
      </c>
      <c r="K133" s="6"/>
      <c r="L133" s="6">
        <v>39935.404000000002</v>
      </c>
      <c r="N133" s="5" t="str">
        <f t="shared" si="10"/>
        <v>I - 933 x 310 x 22 x 35</v>
      </c>
      <c r="O133" s="25">
        <f t="shared" si="11"/>
        <v>319.38510000000002</v>
      </c>
      <c r="P133" s="6">
        <f t="shared" si="12"/>
        <v>933</v>
      </c>
      <c r="Q133" s="6">
        <f t="shared" si="12"/>
        <v>310</v>
      </c>
      <c r="R133" s="6" cm="1">
        <f t="array" ref="R133">IF(I133-LOOKUP(I133, $Y$4:$Y$26) &lt;= 0.1, LOOKUP(I133, $Y$4:$Y$26), MIN(_xlfn._xlws.FILTER($Y$4:$Y$26, $Y$4:$Y$26&gt;=I133)))</f>
        <v>22</v>
      </c>
      <c r="S133" s="6" cm="1">
        <f t="array" ref="S133">IF(J133-LOOKUP(J133, $Y$4:$Y$26) &lt;= 0.1, LOOKUP(J133, $Y$4:$Y$26), MIN(_xlfn._xlws.FILTER($Y$4:$Y$26, $Y$4:$Y$26&gt;=J133)))</f>
        <v>35</v>
      </c>
    </row>
    <row r="134" spans="1:19" x14ac:dyDescent="0.25">
      <c r="A134" t="s">
        <v>502</v>
      </c>
      <c r="B134" s="11">
        <f t="shared" ref="B134:B197" si="13">ROUND(F134,0)</f>
        <v>289</v>
      </c>
      <c r="C134" s="11" t="str">
        <f t="shared" ref="C134:C197" si="14">"I "&amp;A134&amp;"X"&amp;B134</f>
        <v>I W36X289</v>
      </c>
      <c r="D134" s="5" t="s">
        <v>214</v>
      </c>
      <c r="E134" s="5" t="str">
        <f t="shared" ref="E134:E197" si="15">IF((G134/H134)&lt;2,"H - ","I - ")&amp;G134&amp;" x "&amp;H134&amp;" x "&amp;I134&amp;" x "&amp;J134</f>
        <v>I - 928 x 308 x 19.44 x 32.01</v>
      </c>
      <c r="F134" s="25">
        <v>288.70303999999999</v>
      </c>
      <c r="G134" s="6">
        <v>928</v>
      </c>
      <c r="H134" s="6">
        <v>308</v>
      </c>
      <c r="I134" s="6">
        <v>19.440000000000001</v>
      </c>
      <c r="J134" s="6">
        <v>32.01</v>
      </c>
      <c r="K134" s="6"/>
      <c r="L134" s="6">
        <v>36774.120000000003</v>
      </c>
      <c r="N134" s="5" t="str">
        <f t="shared" ref="N134:N197" si="16">IF((P134/Q134)&lt;2,"H - ","I - ")&amp;P134&amp;" x "&amp;Q134&amp;" x "&amp;R134&amp;" x "&amp;S134</f>
        <v>I - 928 x 308 x 20 x 32</v>
      </c>
      <c r="O134" s="25">
        <f t="shared" ref="O134:O197" si="17">((P134-2*S134)*R134+2*Q134*S134)*7850/10^6</f>
        <v>290.38720000000001</v>
      </c>
      <c r="P134" s="6">
        <f t="shared" ref="P134:Q197" si="18">ROUND(G134,0)</f>
        <v>928</v>
      </c>
      <c r="Q134" s="6">
        <f t="shared" si="18"/>
        <v>308</v>
      </c>
      <c r="R134" s="6" cm="1">
        <f t="array" ref="R134">IF(I134-LOOKUP(I134, $Y$4:$Y$26) &lt;= 0.1, LOOKUP(I134, $Y$4:$Y$26), MIN(_xlfn._xlws.FILTER($Y$4:$Y$26, $Y$4:$Y$26&gt;=I134)))</f>
        <v>20</v>
      </c>
      <c r="S134" s="6" cm="1">
        <f t="array" ref="S134">IF(J134-LOOKUP(J134, $Y$4:$Y$26) &lt;= 0.1, LOOKUP(J134, $Y$4:$Y$26), MIN(_xlfn._xlws.FILTER($Y$4:$Y$26, $Y$4:$Y$26&gt;=J134)))</f>
        <v>32</v>
      </c>
    </row>
    <row r="135" spans="1:19" x14ac:dyDescent="0.25">
      <c r="A135" t="s">
        <v>502</v>
      </c>
      <c r="B135" s="11">
        <f t="shared" si="13"/>
        <v>271</v>
      </c>
      <c r="C135" s="11" t="str">
        <f t="shared" si="14"/>
        <v>I W36X271</v>
      </c>
      <c r="D135" s="5" t="s">
        <v>215</v>
      </c>
      <c r="E135" s="5" t="str">
        <f t="shared" si="15"/>
        <v>I - 923 x 308 x 18.42 x 29.98</v>
      </c>
      <c r="F135" s="25">
        <v>270.84512000000001</v>
      </c>
      <c r="G135" s="6">
        <v>923</v>
      </c>
      <c r="H135" s="6">
        <v>308</v>
      </c>
      <c r="I135" s="6">
        <v>18.420000000000002</v>
      </c>
      <c r="J135" s="6">
        <v>29.98</v>
      </c>
      <c r="K135" s="6"/>
      <c r="L135" s="6">
        <v>34580.576000000001</v>
      </c>
      <c r="N135" s="5" t="str">
        <f t="shared" si="16"/>
        <v>I - 923 x 308 x 20 x 30</v>
      </c>
      <c r="O135" s="25">
        <f t="shared" si="17"/>
        <v>280.55900000000003</v>
      </c>
      <c r="P135" s="6">
        <f t="shared" si="18"/>
        <v>923</v>
      </c>
      <c r="Q135" s="6">
        <f t="shared" si="18"/>
        <v>308</v>
      </c>
      <c r="R135" s="6" cm="1">
        <f t="array" ref="R135">IF(I135-LOOKUP(I135, $Y$4:$Y$26) &lt;= 0.1, LOOKUP(I135, $Y$4:$Y$26), MIN(_xlfn._xlws.FILTER($Y$4:$Y$26, $Y$4:$Y$26&gt;=I135)))</f>
        <v>20</v>
      </c>
      <c r="S135" s="6" cm="1">
        <f t="array" ref="S135">IF(J135-LOOKUP(J135, $Y$4:$Y$26) &lt;= 0.1, LOOKUP(J135, $Y$4:$Y$26), MIN(_xlfn._xlws.FILTER($Y$4:$Y$26, $Y$4:$Y$26&gt;=J135)))</f>
        <v>30</v>
      </c>
    </row>
    <row r="136" spans="1:19" x14ac:dyDescent="0.25">
      <c r="A136" t="s">
        <v>502</v>
      </c>
      <c r="B136" s="11">
        <f t="shared" si="13"/>
        <v>253</v>
      </c>
      <c r="C136" s="11" t="str">
        <f t="shared" si="14"/>
        <v>I W36X253</v>
      </c>
      <c r="D136" s="5" t="s">
        <v>216</v>
      </c>
      <c r="E136" s="5" t="str">
        <f t="shared" si="15"/>
        <v>I - 920 x 305 x 17.28 x 27.94</v>
      </c>
      <c r="F136" s="25">
        <v>252.9872</v>
      </c>
      <c r="G136" s="6">
        <v>920</v>
      </c>
      <c r="H136" s="6">
        <v>305</v>
      </c>
      <c r="I136" s="6">
        <v>17.28</v>
      </c>
      <c r="J136" s="6">
        <v>27.94</v>
      </c>
      <c r="K136" s="6"/>
      <c r="L136" s="6">
        <v>32258.000000000004</v>
      </c>
      <c r="N136" s="5" t="str">
        <f t="shared" si="16"/>
        <v>I - 920 x 305 x 18 x 28</v>
      </c>
      <c r="O136" s="25">
        <f t="shared" si="17"/>
        <v>256.16120000000001</v>
      </c>
      <c r="P136" s="6">
        <f t="shared" si="18"/>
        <v>920</v>
      </c>
      <c r="Q136" s="6">
        <f t="shared" si="18"/>
        <v>305</v>
      </c>
      <c r="R136" s="6" cm="1">
        <f t="array" ref="R136">IF(I136-LOOKUP(I136, $Y$4:$Y$26) &lt;= 0.1, LOOKUP(I136, $Y$4:$Y$26), MIN(_xlfn._xlws.FILTER($Y$4:$Y$26, $Y$4:$Y$26&gt;=I136)))</f>
        <v>18</v>
      </c>
      <c r="S136" s="6" cm="1">
        <f t="array" ref="S136">IF(J136-LOOKUP(J136, $Y$4:$Y$26) &lt;= 0.1, LOOKUP(J136, $Y$4:$Y$26), MIN(_xlfn._xlws.FILTER($Y$4:$Y$26, $Y$4:$Y$26&gt;=J136)))</f>
        <v>28</v>
      </c>
    </row>
    <row r="137" spans="1:19" x14ac:dyDescent="0.25">
      <c r="A137" t="s">
        <v>502</v>
      </c>
      <c r="B137" s="11">
        <f t="shared" si="13"/>
        <v>238</v>
      </c>
      <c r="C137" s="11" t="str">
        <f t="shared" si="14"/>
        <v>I W36X238</v>
      </c>
      <c r="D137" s="5" t="s">
        <v>217</v>
      </c>
      <c r="E137" s="5" t="str">
        <f t="shared" si="15"/>
        <v>I - 915 x 305 x 16.51 x 25.91</v>
      </c>
      <c r="F137" s="25">
        <v>238.10559999999998</v>
      </c>
      <c r="G137" s="6">
        <v>915</v>
      </c>
      <c r="H137" s="6">
        <v>305</v>
      </c>
      <c r="I137" s="6">
        <v>16.510000000000002</v>
      </c>
      <c r="J137" s="6">
        <v>25.91</v>
      </c>
      <c r="K137" s="6"/>
      <c r="L137" s="6">
        <v>30322.52</v>
      </c>
      <c r="N137" s="5" t="str">
        <f t="shared" si="16"/>
        <v>I - 915 x 305 x 18 x 28</v>
      </c>
      <c r="O137" s="25">
        <f t="shared" si="17"/>
        <v>255.4547</v>
      </c>
      <c r="P137" s="6">
        <f t="shared" si="18"/>
        <v>915</v>
      </c>
      <c r="Q137" s="6">
        <f t="shared" si="18"/>
        <v>305</v>
      </c>
      <c r="R137" s="6" cm="1">
        <f t="array" ref="R137">IF(I137-LOOKUP(I137, $Y$4:$Y$26) &lt;= 0.1, LOOKUP(I137, $Y$4:$Y$26), MIN(_xlfn._xlws.FILTER($Y$4:$Y$26, $Y$4:$Y$26&gt;=I137)))</f>
        <v>18</v>
      </c>
      <c r="S137" s="6" cm="1">
        <f t="array" ref="S137">IF(J137-LOOKUP(J137, $Y$4:$Y$26) &lt;= 0.1, LOOKUP(J137, $Y$4:$Y$26), MIN(_xlfn._xlws.FILTER($Y$4:$Y$26, $Y$4:$Y$26&gt;=J137)))</f>
        <v>28</v>
      </c>
    </row>
    <row r="138" spans="1:19" x14ac:dyDescent="0.25">
      <c r="A138" t="s">
        <v>502</v>
      </c>
      <c r="B138" s="11">
        <f t="shared" si="13"/>
        <v>223</v>
      </c>
      <c r="C138" s="11" t="str">
        <f t="shared" si="14"/>
        <v>I W36X223</v>
      </c>
      <c r="D138" s="5" t="s">
        <v>218</v>
      </c>
      <c r="E138" s="5" t="str">
        <f t="shared" si="15"/>
        <v>I - 912 x 305 x 15.88 x 23.88</v>
      </c>
      <c r="F138" s="25">
        <v>223.22399999999999</v>
      </c>
      <c r="G138" s="6">
        <v>912</v>
      </c>
      <c r="H138" s="6">
        <v>305</v>
      </c>
      <c r="I138" s="6">
        <v>15.879999999999999</v>
      </c>
      <c r="J138" s="6">
        <v>23.880000000000003</v>
      </c>
      <c r="K138" s="6"/>
      <c r="L138" s="6">
        <v>28580.587999999996</v>
      </c>
      <c r="N138" s="5" t="str">
        <f t="shared" si="16"/>
        <v>I - 912 x 305 x 16 x 25</v>
      </c>
      <c r="O138" s="25">
        <f t="shared" si="17"/>
        <v>227.97970000000001</v>
      </c>
      <c r="P138" s="6">
        <f t="shared" si="18"/>
        <v>912</v>
      </c>
      <c r="Q138" s="6">
        <f t="shared" si="18"/>
        <v>305</v>
      </c>
      <c r="R138" s="6" cm="1">
        <f t="array" ref="R138">IF(I138-LOOKUP(I138, $Y$4:$Y$26) &lt;= 0.1, LOOKUP(I138, $Y$4:$Y$26), MIN(_xlfn._xlws.FILTER($Y$4:$Y$26, $Y$4:$Y$26&gt;=I138)))</f>
        <v>16</v>
      </c>
      <c r="S138" s="6" cm="1">
        <f t="array" ref="S138">IF(J138-LOOKUP(J138, $Y$4:$Y$26) &lt;= 0.1, LOOKUP(J138, $Y$4:$Y$26), MIN(_xlfn._xlws.FILTER($Y$4:$Y$26, $Y$4:$Y$26&gt;=J138)))</f>
        <v>25</v>
      </c>
    </row>
    <row r="139" spans="1:19" x14ac:dyDescent="0.25">
      <c r="A139" t="s">
        <v>502</v>
      </c>
      <c r="B139" s="11">
        <f t="shared" si="13"/>
        <v>201</v>
      </c>
      <c r="C139" s="11" t="str">
        <f t="shared" si="14"/>
        <v>I W36X201</v>
      </c>
      <c r="D139" s="5" t="s">
        <v>219</v>
      </c>
      <c r="E139" s="5" t="str">
        <f t="shared" si="15"/>
        <v>I - 905 x 305 x 15.24 x 20.07</v>
      </c>
      <c r="F139" s="25">
        <v>200.9016</v>
      </c>
      <c r="G139" s="6">
        <v>905</v>
      </c>
      <c r="H139" s="6">
        <v>305</v>
      </c>
      <c r="I139" s="6">
        <v>15.24</v>
      </c>
      <c r="J139" s="6">
        <v>20.07</v>
      </c>
      <c r="K139" s="6"/>
      <c r="L139" s="6">
        <v>25741.883999999998</v>
      </c>
      <c r="N139" s="5" t="str">
        <f t="shared" si="16"/>
        <v>I - 905 x 305 x 16 x 20</v>
      </c>
      <c r="O139" s="25">
        <f t="shared" si="17"/>
        <v>204.41399999999999</v>
      </c>
      <c r="P139" s="6">
        <f t="shared" si="18"/>
        <v>905</v>
      </c>
      <c r="Q139" s="6">
        <f t="shared" si="18"/>
        <v>305</v>
      </c>
      <c r="R139" s="6" cm="1">
        <f t="array" ref="R139">IF(I139-LOOKUP(I139, $Y$4:$Y$26) &lt;= 0.1, LOOKUP(I139, $Y$4:$Y$26), MIN(_xlfn._xlws.FILTER($Y$4:$Y$26, $Y$4:$Y$26&gt;=I139)))</f>
        <v>16</v>
      </c>
      <c r="S139" s="6" cm="1">
        <f t="array" ref="S139">IF(J139-LOOKUP(J139, $Y$4:$Y$26) &lt;= 0.1, LOOKUP(J139, $Y$4:$Y$26), MIN(_xlfn._xlws.FILTER($Y$4:$Y$26, $Y$4:$Y$26&gt;=J139)))</f>
        <v>20</v>
      </c>
    </row>
    <row r="140" spans="1:19" x14ac:dyDescent="0.25">
      <c r="A140" t="s">
        <v>503</v>
      </c>
      <c r="B140" s="11">
        <f t="shared" si="13"/>
        <v>576</v>
      </c>
      <c r="C140" s="11" t="str">
        <f t="shared" si="14"/>
        <v>I W33X576</v>
      </c>
      <c r="D140" s="5" t="s">
        <v>220</v>
      </c>
      <c r="E140" s="5" t="str">
        <f t="shared" si="15"/>
        <v>I - 915 x 412 x 32.01 x 57.92</v>
      </c>
      <c r="F140" s="25">
        <v>575.91791999999998</v>
      </c>
      <c r="G140" s="6">
        <v>915</v>
      </c>
      <c r="H140" s="6">
        <v>412</v>
      </c>
      <c r="I140" s="6">
        <v>32.01</v>
      </c>
      <c r="J140" s="6">
        <v>57.919999999999995</v>
      </c>
      <c r="K140" s="6"/>
      <c r="L140" s="6">
        <v>73548.240000000005</v>
      </c>
      <c r="N140" s="5" t="str">
        <f t="shared" si="16"/>
        <v>I - 915 x 412 x 32 x 60</v>
      </c>
      <c r="O140" s="25">
        <f t="shared" si="17"/>
        <v>587.80799999999999</v>
      </c>
      <c r="P140" s="6">
        <f t="shared" si="18"/>
        <v>915</v>
      </c>
      <c r="Q140" s="6">
        <f t="shared" si="18"/>
        <v>412</v>
      </c>
      <c r="R140" s="6" cm="1">
        <f t="array" ref="R140">IF(I140-LOOKUP(I140, $Y$4:$Y$26) &lt;= 0.1, LOOKUP(I140, $Y$4:$Y$26), MIN(_xlfn._xlws.FILTER($Y$4:$Y$26, $Y$4:$Y$26&gt;=I140)))</f>
        <v>32</v>
      </c>
      <c r="S140" s="6" cm="1">
        <f t="array" ref="S140">IF(J140-LOOKUP(J140, $Y$4:$Y$26) &lt;= 0.1, LOOKUP(J140, $Y$4:$Y$26), MIN(_xlfn._xlws.FILTER($Y$4:$Y$26, $Y$4:$Y$26&gt;=J140)))</f>
        <v>60</v>
      </c>
    </row>
    <row r="141" spans="1:19" x14ac:dyDescent="0.25">
      <c r="A141" t="s">
        <v>503</v>
      </c>
      <c r="B141" s="11">
        <f t="shared" si="13"/>
        <v>527</v>
      </c>
      <c r="C141" s="11" t="str">
        <f t="shared" si="14"/>
        <v>I W33X527</v>
      </c>
      <c r="D141" s="5" t="s">
        <v>221</v>
      </c>
      <c r="E141" s="5" t="str">
        <f t="shared" si="15"/>
        <v>I - 905 x 409 x 29.47 x 53.09</v>
      </c>
      <c r="F141" s="25">
        <v>526.80863999999997</v>
      </c>
      <c r="G141" s="6">
        <v>905</v>
      </c>
      <c r="H141" s="6">
        <v>409</v>
      </c>
      <c r="I141" s="6">
        <v>29.470000000000002</v>
      </c>
      <c r="J141" s="6">
        <v>53.089999999999996</v>
      </c>
      <c r="K141" s="6"/>
      <c r="L141" s="6">
        <v>67096.639999999999</v>
      </c>
      <c r="N141" s="5" t="str">
        <f t="shared" si="16"/>
        <v>I - 905 x 409 x 30 x 60</v>
      </c>
      <c r="O141" s="25">
        <f t="shared" si="17"/>
        <v>570.14549999999997</v>
      </c>
      <c r="P141" s="6">
        <f t="shared" si="18"/>
        <v>905</v>
      </c>
      <c r="Q141" s="6">
        <f t="shared" si="18"/>
        <v>409</v>
      </c>
      <c r="R141" s="6" cm="1">
        <f t="array" ref="R141">IF(I141-LOOKUP(I141, $Y$4:$Y$26) &lt;= 0.1, LOOKUP(I141, $Y$4:$Y$26), MIN(_xlfn._xlws.FILTER($Y$4:$Y$26, $Y$4:$Y$26&gt;=I141)))</f>
        <v>30</v>
      </c>
      <c r="S141" s="6" cm="1">
        <f t="array" ref="S141">IF(J141-LOOKUP(J141, $Y$4:$Y$26) &lt;= 0.1, LOOKUP(J141, $Y$4:$Y$26), MIN(_xlfn._xlws.FILTER($Y$4:$Y$26, $Y$4:$Y$26&gt;=J141)))</f>
        <v>60</v>
      </c>
    </row>
    <row r="142" spans="1:19" x14ac:dyDescent="0.25">
      <c r="A142" t="s">
        <v>503</v>
      </c>
      <c r="B142" s="11">
        <f t="shared" si="13"/>
        <v>473</v>
      </c>
      <c r="C142" s="11" t="str">
        <f t="shared" si="14"/>
        <v>I W33X473</v>
      </c>
      <c r="D142" s="5" t="s">
        <v>222</v>
      </c>
      <c r="E142" s="5" t="str">
        <f t="shared" si="15"/>
        <v>I - 895 x 407 x 26.42 x 48.01</v>
      </c>
      <c r="F142" s="25">
        <v>473.23487999999998</v>
      </c>
      <c r="G142" s="6">
        <v>895</v>
      </c>
      <c r="H142" s="6">
        <v>407</v>
      </c>
      <c r="I142" s="6">
        <v>26.42</v>
      </c>
      <c r="J142" s="6">
        <v>48.01</v>
      </c>
      <c r="K142" s="6"/>
      <c r="L142" s="6">
        <v>60451.492000000006</v>
      </c>
      <c r="N142" s="5" t="str">
        <f t="shared" si="16"/>
        <v>I - 895 x 407 x 28 x 50</v>
      </c>
      <c r="O142" s="25">
        <f t="shared" si="17"/>
        <v>494.23599999999999</v>
      </c>
      <c r="P142" s="6">
        <f t="shared" si="18"/>
        <v>895</v>
      </c>
      <c r="Q142" s="6">
        <f t="shared" si="18"/>
        <v>407</v>
      </c>
      <c r="R142" s="6" cm="1">
        <f t="array" ref="R142">IF(I142-LOOKUP(I142, $Y$4:$Y$26) &lt;= 0.1, LOOKUP(I142, $Y$4:$Y$26), MIN(_xlfn._xlws.FILTER($Y$4:$Y$26, $Y$4:$Y$26&gt;=I142)))</f>
        <v>28</v>
      </c>
      <c r="S142" s="6" cm="1">
        <f t="array" ref="S142">IF(J142-LOOKUP(J142, $Y$4:$Y$26) &lt;= 0.1, LOOKUP(J142, $Y$4:$Y$26), MIN(_xlfn._xlws.FILTER($Y$4:$Y$26, $Y$4:$Y$26&gt;=J142)))</f>
        <v>50</v>
      </c>
    </row>
    <row r="143" spans="1:19" x14ac:dyDescent="0.25">
      <c r="A143" t="s">
        <v>503</v>
      </c>
      <c r="B143" s="11">
        <f t="shared" si="13"/>
        <v>433</v>
      </c>
      <c r="C143" s="11" t="str">
        <f t="shared" si="14"/>
        <v>I W33X433</v>
      </c>
      <c r="D143" s="5" t="s">
        <v>223</v>
      </c>
      <c r="E143" s="5" t="str">
        <f t="shared" si="15"/>
        <v>I - 884 x 404 x 24.39 x 43.95</v>
      </c>
      <c r="F143" s="25">
        <v>433.05455999999998</v>
      </c>
      <c r="G143" s="6">
        <v>884</v>
      </c>
      <c r="H143" s="6">
        <v>404</v>
      </c>
      <c r="I143" s="6">
        <v>24.39</v>
      </c>
      <c r="J143" s="6">
        <v>43.949999999999996</v>
      </c>
      <c r="K143" s="6"/>
      <c r="L143" s="6">
        <v>55225.695999999996</v>
      </c>
      <c r="N143" s="5" t="str">
        <f t="shared" si="16"/>
        <v>I - 884 x 404 x 25 x 45</v>
      </c>
      <c r="O143" s="25">
        <f t="shared" si="17"/>
        <v>441.24849999999998</v>
      </c>
      <c r="P143" s="6">
        <f t="shared" si="18"/>
        <v>884</v>
      </c>
      <c r="Q143" s="6">
        <f t="shared" si="18"/>
        <v>404</v>
      </c>
      <c r="R143" s="6" cm="1">
        <f t="array" ref="R143">IF(I143-LOOKUP(I143, $Y$4:$Y$26) &lt;= 0.1, LOOKUP(I143, $Y$4:$Y$26), MIN(_xlfn._xlws.FILTER($Y$4:$Y$26, $Y$4:$Y$26&gt;=I143)))</f>
        <v>25</v>
      </c>
      <c r="S143" s="6" cm="1">
        <f t="array" ref="S143">IF(J143-LOOKUP(J143, $Y$4:$Y$26) &lt;= 0.1, LOOKUP(J143, $Y$4:$Y$26), MIN(_xlfn._xlws.FILTER($Y$4:$Y$26, $Y$4:$Y$26&gt;=J143)))</f>
        <v>45</v>
      </c>
    </row>
    <row r="144" spans="1:19" x14ac:dyDescent="0.25">
      <c r="A144" t="s">
        <v>503</v>
      </c>
      <c r="B144" s="11">
        <f t="shared" si="13"/>
        <v>391</v>
      </c>
      <c r="C144" s="11" t="str">
        <f t="shared" si="14"/>
        <v>I W33X391</v>
      </c>
      <c r="D144" s="5" t="s">
        <v>224</v>
      </c>
      <c r="E144" s="5" t="str">
        <f t="shared" si="15"/>
        <v>I - 877 x 402 x 22.1 x 39.88</v>
      </c>
      <c r="F144" s="25">
        <v>391.38607999999999</v>
      </c>
      <c r="G144" s="6">
        <v>877</v>
      </c>
      <c r="H144" s="6">
        <v>402</v>
      </c>
      <c r="I144" s="6">
        <v>22.1</v>
      </c>
      <c r="J144" s="6">
        <v>39.879999999999995</v>
      </c>
      <c r="K144" s="6"/>
      <c r="L144" s="6">
        <v>49935.383999999998</v>
      </c>
      <c r="N144" s="5" t="str">
        <f t="shared" si="16"/>
        <v>I - 877 x 402 x 25 x 40</v>
      </c>
      <c r="O144" s="25">
        <f t="shared" si="17"/>
        <v>408.86725000000001</v>
      </c>
      <c r="P144" s="6">
        <f t="shared" si="18"/>
        <v>877</v>
      </c>
      <c r="Q144" s="6">
        <f t="shared" si="18"/>
        <v>402</v>
      </c>
      <c r="R144" s="6" cm="1">
        <f t="array" ref="R144">IF(I144-LOOKUP(I144, $Y$4:$Y$26) &lt;= 0.1, LOOKUP(I144, $Y$4:$Y$26), MIN(_xlfn._xlws.FILTER($Y$4:$Y$26, $Y$4:$Y$26&gt;=I144)))</f>
        <v>25</v>
      </c>
      <c r="S144" s="6" cm="1">
        <f t="array" ref="S144">IF(J144-LOOKUP(J144, $Y$4:$Y$26) &lt;= 0.1, LOOKUP(J144, $Y$4:$Y$26), MIN(_xlfn._xlws.FILTER($Y$4:$Y$26, $Y$4:$Y$26&gt;=J144)))</f>
        <v>40</v>
      </c>
    </row>
    <row r="145" spans="1:19" x14ac:dyDescent="0.25">
      <c r="A145" t="s">
        <v>503</v>
      </c>
      <c r="B145" s="11">
        <f t="shared" si="13"/>
        <v>359</v>
      </c>
      <c r="C145" s="11" t="str">
        <f t="shared" si="14"/>
        <v>I W33X359</v>
      </c>
      <c r="D145" s="5" t="s">
        <v>225</v>
      </c>
      <c r="E145" s="5" t="str">
        <f t="shared" si="15"/>
        <v>I - 869 x 404 x 21.09 x 35.56</v>
      </c>
      <c r="F145" s="25">
        <v>358.64655999999997</v>
      </c>
      <c r="G145" s="6">
        <v>869</v>
      </c>
      <c r="H145" s="6">
        <v>404</v>
      </c>
      <c r="I145" s="6">
        <v>21.09</v>
      </c>
      <c r="J145" s="6">
        <v>35.56</v>
      </c>
      <c r="K145" s="6"/>
      <c r="L145" s="6">
        <v>45870.875999999997</v>
      </c>
      <c r="N145" s="5" t="str">
        <f t="shared" si="16"/>
        <v>I - 869 x 404 x 22 x 40</v>
      </c>
      <c r="O145" s="25">
        <f t="shared" si="17"/>
        <v>389.97230000000002</v>
      </c>
      <c r="P145" s="6">
        <f t="shared" si="18"/>
        <v>869</v>
      </c>
      <c r="Q145" s="6">
        <f t="shared" si="18"/>
        <v>404</v>
      </c>
      <c r="R145" s="6" cm="1">
        <f t="array" ref="R145">IF(I145-LOOKUP(I145, $Y$4:$Y$26) &lt;= 0.1, LOOKUP(I145, $Y$4:$Y$26), MIN(_xlfn._xlws.FILTER($Y$4:$Y$26, $Y$4:$Y$26&gt;=I145)))</f>
        <v>22</v>
      </c>
      <c r="S145" s="6" cm="1">
        <f t="array" ref="S145">IF(J145-LOOKUP(J145, $Y$4:$Y$26) &lt;= 0.1, LOOKUP(J145, $Y$4:$Y$26), MIN(_xlfn._xlws.FILTER($Y$4:$Y$26, $Y$4:$Y$26&gt;=J145)))</f>
        <v>40</v>
      </c>
    </row>
    <row r="146" spans="1:19" x14ac:dyDescent="0.25">
      <c r="A146" t="s">
        <v>503</v>
      </c>
      <c r="B146" s="11">
        <f t="shared" si="13"/>
        <v>329</v>
      </c>
      <c r="C146" s="11" t="str">
        <f t="shared" si="14"/>
        <v>I W33X329</v>
      </c>
      <c r="D146" s="5" t="s">
        <v>226</v>
      </c>
      <c r="E146" s="5" t="str">
        <f t="shared" si="15"/>
        <v>I - 862 x 402 x 19.69 x 32.52</v>
      </c>
      <c r="F146" s="25">
        <v>328.88335999999998</v>
      </c>
      <c r="G146" s="6">
        <v>862</v>
      </c>
      <c r="H146" s="6">
        <v>402</v>
      </c>
      <c r="I146" s="6">
        <v>19.690000000000001</v>
      </c>
      <c r="J146" s="6">
        <v>32.519999999999996</v>
      </c>
      <c r="K146" s="6"/>
      <c r="L146" s="6">
        <v>42128.947999999997</v>
      </c>
      <c r="N146" s="5" t="str">
        <f t="shared" si="16"/>
        <v>I - 862 x 402 x 20 x 35</v>
      </c>
      <c r="O146" s="25">
        <f t="shared" si="17"/>
        <v>345.24299999999999</v>
      </c>
      <c r="P146" s="6">
        <f t="shared" si="18"/>
        <v>862</v>
      </c>
      <c r="Q146" s="6">
        <f t="shared" si="18"/>
        <v>402</v>
      </c>
      <c r="R146" s="6" cm="1">
        <f t="array" ref="R146">IF(I146-LOOKUP(I146, $Y$4:$Y$26) &lt;= 0.1, LOOKUP(I146, $Y$4:$Y$26), MIN(_xlfn._xlws.FILTER($Y$4:$Y$26, $Y$4:$Y$26&gt;=I146)))</f>
        <v>20</v>
      </c>
      <c r="S146" s="6" cm="1">
        <f t="array" ref="S146">IF(J146-LOOKUP(J146, $Y$4:$Y$26) &lt;= 0.1, LOOKUP(J146, $Y$4:$Y$26), MIN(_xlfn._xlws.FILTER($Y$4:$Y$26, $Y$4:$Y$26&gt;=J146)))</f>
        <v>35</v>
      </c>
    </row>
    <row r="147" spans="1:19" x14ac:dyDescent="0.25">
      <c r="A147" t="s">
        <v>503</v>
      </c>
      <c r="B147" s="11">
        <f t="shared" si="13"/>
        <v>299</v>
      </c>
      <c r="C147" s="11" t="str">
        <f t="shared" si="14"/>
        <v>I W33X299</v>
      </c>
      <c r="D147" s="5" t="s">
        <v>227</v>
      </c>
      <c r="E147" s="5" t="str">
        <f t="shared" si="15"/>
        <v>I - 856 x 399 x 18.17 x 29.21</v>
      </c>
      <c r="F147" s="25">
        <v>299.12016</v>
      </c>
      <c r="G147" s="6">
        <v>856</v>
      </c>
      <c r="H147" s="6">
        <v>399</v>
      </c>
      <c r="I147" s="6">
        <v>18.170000000000002</v>
      </c>
      <c r="J147" s="6">
        <v>29.21</v>
      </c>
      <c r="K147" s="6"/>
      <c r="L147" s="6">
        <v>38128.955999999998</v>
      </c>
      <c r="N147" s="5" t="str">
        <f t="shared" si="16"/>
        <v>I - 856 x 399 x 20 x 30</v>
      </c>
      <c r="O147" s="25">
        <f t="shared" si="17"/>
        <v>312.90100000000001</v>
      </c>
      <c r="P147" s="6">
        <f t="shared" si="18"/>
        <v>856</v>
      </c>
      <c r="Q147" s="6">
        <f t="shared" si="18"/>
        <v>399</v>
      </c>
      <c r="R147" s="6" cm="1">
        <f t="array" ref="R147">IF(I147-LOOKUP(I147, $Y$4:$Y$26) &lt;= 0.1, LOOKUP(I147, $Y$4:$Y$26), MIN(_xlfn._xlws.FILTER($Y$4:$Y$26, $Y$4:$Y$26&gt;=I147)))</f>
        <v>20</v>
      </c>
      <c r="S147" s="6" cm="1">
        <f t="array" ref="S147">IF(J147-LOOKUP(J147, $Y$4:$Y$26) &lt;= 0.1, LOOKUP(J147, $Y$4:$Y$26), MIN(_xlfn._xlws.FILTER($Y$4:$Y$26, $Y$4:$Y$26&gt;=J147)))</f>
        <v>30</v>
      </c>
    </row>
    <row r="148" spans="1:19" x14ac:dyDescent="0.25">
      <c r="A148" t="s">
        <v>503</v>
      </c>
      <c r="B148" s="11">
        <f t="shared" si="13"/>
        <v>251</v>
      </c>
      <c r="C148" s="11" t="str">
        <f t="shared" si="14"/>
        <v>I W33X251</v>
      </c>
      <c r="D148" s="5" t="s">
        <v>228</v>
      </c>
      <c r="E148" s="5" t="str">
        <f t="shared" si="15"/>
        <v>I - 859 x 293 x 17.02 x 30.99</v>
      </c>
      <c r="F148" s="25">
        <v>251.49903999999998</v>
      </c>
      <c r="G148" s="6">
        <v>859</v>
      </c>
      <c r="H148" s="6">
        <v>293</v>
      </c>
      <c r="I148" s="6">
        <v>17.020000000000003</v>
      </c>
      <c r="J148" s="6">
        <v>30.990000000000002</v>
      </c>
      <c r="K148" s="6"/>
      <c r="L148" s="6">
        <v>31935.42</v>
      </c>
      <c r="N148" s="5" t="str">
        <f t="shared" si="16"/>
        <v>I - 859 x 293 x 18 x 32</v>
      </c>
      <c r="O148" s="25">
        <f t="shared" si="17"/>
        <v>259.5367</v>
      </c>
      <c r="P148" s="6">
        <f t="shared" si="18"/>
        <v>859</v>
      </c>
      <c r="Q148" s="6">
        <f t="shared" si="18"/>
        <v>293</v>
      </c>
      <c r="R148" s="6" cm="1">
        <f t="array" ref="R148">IF(I148-LOOKUP(I148, $Y$4:$Y$26) &lt;= 0.1, LOOKUP(I148, $Y$4:$Y$26), MIN(_xlfn._xlws.FILTER($Y$4:$Y$26, $Y$4:$Y$26&gt;=I148)))</f>
        <v>18</v>
      </c>
      <c r="S148" s="6" cm="1">
        <f t="array" ref="S148">IF(J148-LOOKUP(J148, $Y$4:$Y$26) &lt;= 0.1, LOOKUP(J148, $Y$4:$Y$26), MIN(_xlfn._xlws.FILTER($Y$4:$Y$26, $Y$4:$Y$26&gt;=J148)))</f>
        <v>32</v>
      </c>
    </row>
    <row r="149" spans="1:19" x14ac:dyDescent="0.25">
      <c r="A149" t="s">
        <v>503</v>
      </c>
      <c r="B149" s="11">
        <f t="shared" si="13"/>
        <v>226</v>
      </c>
      <c r="C149" s="11" t="str">
        <f t="shared" si="14"/>
        <v>I W33X226</v>
      </c>
      <c r="D149" s="5" t="s">
        <v>229</v>
      </c>
      <c r="E149" s="5" t="str">
        <f t="shared" si="15"/>
        <v>I - 851 x 295 x 16.13 x 26.93</v>
      </c>
      <c r="F149" s="25">
        <v>226.20031999999998</v>
      </c>
      <c r="G149" s="6">
        <v>851</v>
      </c>
      <c r="H149" s="6">
        <v>295</v>
      </c>
      <c r="I149" s="6">
        <v>16.130000000000003</v>
      </c>
      <c r="J149" s="6">
        <v>26.930000000000003</v>
      </c>
      <c r="K149" s="6"/>
      <c r="L149" s="6">
        <v>28967.683999999997</v>
      </c>
      <c r="N149" s="5" t="str">
        <f t="shared" si="16"/>
        <v>I - 851 x 295 x 18 x 28</v>
      </c>
      <c r="O149" s="25">
        <f t="shared" si="17"/>
        <v>242.0155</v>
      </c>
      <c r="P149" s="6">
        <f t="shared" si="18"/>
        <v>851</v>
      </c>
      <c r="Q149" s="6">
        <f t="shared" si="18"/>
        <v>295</v>
      </c>
      <c r="R149" s="6" cm="1">
        <f t="array" ref="R149">IF(I149-LOOKUP(I149, $Y$4:$Y$26) &lt;= 0.1, LOOKUP(I149, $Y$4:$Y$26), MIN(_xlfn._xlws.FILTER($Y$4:$Y$26, $Y$4:$Y$26&gt;=I149)))</f>
        <v>18</v>
      </c>
      <c r="S149" s="6" cm="1">
        <f t="array" ref="S149">IF(J149-LOOKUP(J149, $Y$4:$Y$26) &lt;= 0.1, LOOKUP(J149, $Y$4:$Y$26), MIN(_xlfn._xlws.FILTER($Y$4:$Y$26, $Y$4:$Y$26&gt;=J149)))</f>
        <v>28</v>
      </c>
    </row>
    <row r="150" spans="1:19" x14ac:dyDescent="0.25">
      <c r="A150" t="s">
        <v>503</v>
      </c>
      <c r="B150" s="11">
        <f t="shared" si="13"/>
        <v>210</v>
      </c>
      <c r="C150" s="11" t="str">
        <f t="shared" si="14"/>
        <v>I W33X210</v>
      </c>
      <c r="D150" s="5" t="s">
        <v>230</v>
      </c>
      <c r="E150" s="5" t="str">
        <f t="shared" si="15"/>
        <v>I - 846 x 293 x 15.37 x 24.39</v>
      </c>
      <c r="F150" s="25">
        <v>209.83055999999999</v>
      </c>
      <c r="G150" s="6">
        <v>846</v>
      </c>
      <c r="H150" s="6">
        <v>293</v>
      </c>
      <c r="I150" s="6">
        <v>15.37</v>
      </c>
      <c r="J150" s="6">
        <v>24.39</v>
      </c>
      <c r="K150" s="6"/>
      <c r="L150" s="6">
        <v>26774.14</v>
      </c>
      <c r="N150" s="5" t="str">
        <f t="shared" si="16"/>
        <v>I - 846 x 293 x 16 x 25</v>
      </c>
      <c r="O150" s="25">
        <f t="shared" si="17"/>
        <v>214.98009999999999</v>
      </c>
      <c r="P150" s="6">
        <f t="shared" si="18"/>
        <v>846</v>
      </c>
      <c r="Q150" s="6">
        <f t="shared" si="18"/>
        <v>293</v>
      </c>
      <c r="R150" s="6" cm="1">
        <f t="array" ref="R150">IF(I150-LOOKUP(I150, $Y$4:$Y$26) &lt;= 0.1, LOOKUP(I150, $Y$4:$Y$26), MIN(_xlfn._xlws.FILTER($Y$4:$Y$26, $Y$4:$Y$26&gt;=I150)))</f>
        <v>16</v>
      </c>
      <c r="S150" s="6" cm="1">
        <f t="array" ref="S150">IF(J150-LOOKUP(J150, $Y$4:$Y$26) &lt;= 0.1, LOOKUP(J150, $Y$4:$Y$26), MIN(_xlfn._xlws.FILTER($Y$4:$Y$26, $Y$4:$Y$26&gt;=J150)))</f>
        <v>25</v>
      </c>
    </row>
    <row r="151" spans="1:19" x14ac:dyDescent="0.25">
      <c r="A151" t="s">
        <v>503</v>
      </c>
      <c r="B151" s="11">
        <f t="shared" si="13"/>
        <v>193</v>
      </c>
      <c r="C151" s="11" t="str">
        <f t="shared" si="14"/>
        <v>I W33X193</v>
      </c>
      <c r="D151" s="5" t="s">
        <v>231</v>
      </c>
      <c r="E151" s="5" t="str">
        <f t="shared" si="15"/>
        <v>I - 841 x 293 x 14.74 x 21.72</v>
      </c>
      <c r="F151" s="25">
        <v>193.46079999999998</v>
      </c>
      <c r="G151" s="6">
        <v>841</v>
      </c>
      <c r="H151" s="6">
        <v>293</v>
      </c>
      <c r="I151" s="6">
        <v>14.74</v>
      </c>
      <c r="J151" s="6">
        <v>21.720000000000002</v>
      </c>
      <c r="K151" s="6"/>
      <c r="L151" s="6">
        <v>24709.627999999997</v>
      </c>
      <c r="N151" s="5" t="str">
        <f t="shared" si="16"/>
        <v>I - 841 x 293 x 16 x 22</v>
      </c>
      <c r="O151" s="25">
        <f t="shared" si="17"/>
        <v>201.30539999999999</v>
      </c>
      <c r="P151" s="6">
        <f t="shared" si="18"/>
        <v>841</v>
      </c>
      <c r="Q151" s="6">
        <f t="shared" si="18"/>
        <v>293</v>
      </c>
      <c r="R151" s="6" cm="1">
        <f t="array" ref="R151">IF(I151-LOOKUP(I151, $Y$4:$Y$26) &lt;= 0.1, LOOKUP(I151, $Y$4:$Y$26), MIN(_xlfn._xlws.FILTER($Y$4:$Y$26, $Y$4:$Y$26&gt;=I151)))</f>
        <v>16</v>
      </c>
      <c r="S151" s="6" cm="1">
        <f t="array" ref="S151">IF(J151-LOOKUP(J151, $Y$4:$Y$26) &lt;= 0.1, LOOKUP(J151, $Y$4:$Y$26), MIN(_xlfn._xlws.FILTER($Y$4:$Y$26, $Y$4:$Y$26&gt;=J151)))</f>
        <v>22</v>
      </c>
    </row>
    <row r="152" spans="1:19" x14ac:dyDescent="0.25">
      <c r="A152" t="s">
        <v>503</v>
      </c>
      <c r="B152" s="11">
        <f t="shared" si="13"/>
        <v>176</v>
      </c>
      <c r="C152" s="11" t="str">
        <f t="shared" si="14"/>
        <v>I W33X176</v>
      </c>
      <c r="D152" s="5" t="s">
        <v>232</v>
      </c>
      <c r="E152" s="5" t="str">
        <f t="shared" si="15"/>
        <v>I - 836 x 293 x 13.97 x 18.8</v>
      </c>
      <c r="F152" s="25">
        <v>175.60288</v>
      </c>
      <c r="G152" s="6">
        <v>836</v>
      </c>
      <c r="H152" s="6">
        <v>293</v>
      </c>
      <c r="I152" s="6">
        <v>13.97</v>
      </c>
      <c r="J152" s="6">
        <v>18.8</v>
      </c>
      <c r="K152" s="6"/>
      <c r="L152" s="6">
        <v>22387.052</v>
      </c>
      <c r="N152" s="5" t="str">
        <f t="shared" si="16"/>
        <v>I - 836 x 293 x 14 x 20</v>
      </c>
      <c r="O152" s="25">
        <f t="shared" si="17"/>
        <v>179.48240000000001</v>
      </c>
      <c r="P152" s="6">
        <f t="shared" si="18"/>
        <v>836</v>
      </c>
      <c r="Q152" s="6">
        <f t="shared" si="18"/>
        <v>293</v>
      </c>
      <c r="R152" s="6" cm="1">
        <f t="array" ref="R152">IF(I152-LOOKUP(I152, $Y$4:$Y$26) &lt;= 0.1, LOOKUP(I152, $Y$4:$Y$26), MIN(_xlfn._xlws.FILTER($Y$4:$Y$26, $Y$4:$Y$26&gt;=I152)))</f>
        <v>14</v>
      </c>
      <c r="S152" s="6" cm="1">
        <f t="array" ref="S152">IF(J152-LOOKUP(J152, $Y$4:$Y$26) &lt;= 0.1, LOOKUP(J152, $Y$4:$Y$26), MIN(_xlfn._xlws.FILTER($Y$4:$Y$26, $Y$4:$Y$26&gt;=J152)))</f>
        <v>20</v>
      </c>
    </row>
    <row r="153" spans="1:19" x14ac:dyDescent="0.25">
      <c r="A153" t="s">
        <v>504</v>
      </c>
      <c r="B153" s="11">
        <f t="shared" si="13"/>
        <v>582</v>
      </c>
      <c r="C153" s="11" t="str">
        <f t="shared" si="14"/>
        <v>I W30X582</v>
      </c>
      <c r="D153" s="5" t="s">
        <v>233</v>
      </c>
      <c r="E153" s="5" t="str">
        <f t="shared" si="15"/>
        <v>I - 844 x 397 x 34.55 x 61.98</v>
      </c>
      <c r="F153" s="25">
        <v>581.87055999999995</v>
      </c>
      <c r="G153" s="6">
        <v>844</v>
      </c>
      <c r="H153" s="6">
        <v>397</v>
      </c>
      <c r="I153" s="6">
        <v>34.549999999999997</v>
      </c>
      <c r="J153" s="6">
        <v>61.98</v>
      </c>
      <c r="K153" s="6"/>
      <c r="L153" s="6">
        <v>74193.399999999994</v>
      </c>
      <c r="N153" s="5" t="str">
        <f t="shared" si="16"/>
        <v>I - 844 x 397 x 35 x 70</v>
      </c>
      <c r="O153" s="25">
        <f t="shared" si="17"/>
        <v>629.72699999999998</v>
      </c>
      <c r="P153" s="6">
        <f t="shared" si="18"/>
        <v>844</v>
      </c>
      <c r="Q153" s="6">
        <f t="shared" si="18"/>
        <v>397</v>
      </c>
      <c r="R153" s="6" cm="1">
        <f t="array" ref="R153">IF(I153-LOOKUP(I153, $Y$4:$Y$26) &lt;= 0.1, LOOKUP(I153, $Y$4:$Y$26), MIN(_xlfn._xlws.FILTER($Y$4:$Y$26, $Y$4:$Y$26&gt;=I153)))</f>
        <v>35</v>
      </c>
      <c r="S153" s="6" cm="1">
        <f t="array" ref="S153">IF(J153-LOOKUP(J153, $Y$4:$Y$26) &lt;= 0.1, LOOKUP(J153, $Y$4:$Y$26), MIN(_xlfn._xlws.FILTER($Y$4:$Y$26, $Y$4:$Y$26&gt;=J153)))</f>
        <v>70</v>
      </c>
    </row>
    <row r="154" spans="1:19" x14ac:dyDescent="0.25">
      <c r="A154" t="s">
        <v>504</v>
      </c>
      <c r="B154" s="11">
        <f t="shared" si="13"/>
        <v>531</v>
      </c>
      <c r="C154" s="11" t="str">
        <f t="shared" si="14"/>
        <v>I W30X531</v>
      </c>
      <c r="D154" s="5" t="s">
        <v>234</v>
      </c>
      <c r="E154" s="5" t="str">
        <f t="shared" si="15"/>
        <v>I - 834 x 394 x 31.5 x 56.9</v>
      </c>
      <c r="F154" s="25">
        <v>531.27311999999995</v>
      </c>
      <c r="G154" s="6">
        <v>834</v>
      </c>
      <c r="H154" s="6">
        <v>394</v>
      </c>
      <c r="I154" s="6">
        <v>31.5</v>
      </c>
      <c r="J154" s="6">
        <v>56.9</v>
      </c>
      <c r="K154" s="6"/>
      <c r="L154" s="6">
        <v>67741.8</v>
      </c>
      <c r="N154" s="5" t="str">
        <f t="shared" si="16"/>
        <v>I - 834 x 394 x 32 x 60</v>
      </c>
      <c r="O154" s="25">
        <f t="shared" si="17"/>
        <v>550.50480000000005</v>
      </c>
      <c r="P154" s="6">
        <f t="shared" si="18"/>
        <v>834</v>
      </c>
      <c r="Q154" s="6">
        <f t="shared" si="18"/>
        <v>394</v>
      </c>
      <c r="R154" s="6" cm="1">
        <f t="array" ref="R154">IF(I154-LOOKUP(I154, $Y$4:$Y$26) &lt;= 0.1, LOOKUP(I154, $Y$4:$Y$26), MIN(_xlfn._xlws.FILTER($Y$4:$Y$26, $Y$4:$Y$26&gt;=I154)))</f>
        <v>32</v>
      </c>
      <c r="S154" s="6" cm="1">
        <f t="array" ref="S154">IF(J154-LOOKUP(J154, $Y$4:$Y$26) &lt;= 0.1, LOOKUP(J154, $Y$4:$Y$26), MIN(_xlfn._xlws.FILTER($Y$4:$Y$26, $Y$4:$Y$26&gt;=J154)))</f>
        <v>60</v>
      </c>
    </row>
    <row r="155" spans="1:19" x14ac:dyDescent="0.25">
      <c r="A155" t="s">
        <v>504</v>
      </c>
      <c r="B155" s="11">
        <f t="shared" si="13"/>
        <v>485</v>
      </c>
      <c r="C155" s="11" t="str">
        <f t="shared" si="14"/>
        <v>I W30X485</v>
      </c>
      <c r="D155" s="5" t="s">
        <v>235</v>
      </c>
      <c r="E155" s="5" t="str">
        <f t="shared" si="15"/>
        <v>I - 823 x 392 x 28.96 x 52.07</v>
      </c>
      <c r="F155" s="25">
        <v>485.14015999999998</v>
      </c>
      <c r="G155" s="6">
        <v>823</v>
      </c>
      <c r="H155" s="6">
        <v>392</v>
      </c>
      <c r="I155" s="6">
        <v>28.96</v>
      </c>
      <c r="J155" s="6">
        <v>52.07</v>
      </c>
      <c r="K155" s="6"/>
      <c r="L155" s="6">
        <v>61870.844000000005</v>
      </c>
      <c r="N155" s="5" t="str">
        <f t="shared" si="16"/>
        <v>I - 823 x 392 x 30 x 60</v>
      </c>
      <c r="O155" s="25">
        <f t="shared" si="17"/>
        <v>534.82050000000004</v>
      </c>
      <c r="P155" s="6">
        <f t="shared" si="18"/>
        <v>823</v>
      </c>
      <c r="Q155" s="6">
        <f t="shared" si="18"/>
        <v>392</v>
      </c>
      <c r="R155" s="6" cm="1">
        <f t="array" ref="R155">IF(I155-LOOKUP(I155, $Y$4:$Y$26) &lt;= 0.1, LOOKUP(I155, $Y$4:$Y$26), MIN(_xlfn._xlws.FILTER($Y$4:$Y$26, $Y$4:$Y$26&gt;=I155)))</f>
        <v>30</v>
      </c>
      <c r="S155" s="6" cm="1">
        <f t="array" ref="S155">IF(J155-LOOKUP(J155, $Y$4:$Y$26) &lt;= 0.1, LOOKUP(J155, $Y$4:$Y$26), MIN(_xlfn._xlws.FILTER($Y$4:$Y$26, $Y$4:$Y$26&gt;=J155)))</f>
        <v>60</v>
      </c>
    </row>
    <row r="156" spans="1:19" x14ac:dyDescent="0.25">
      <c r="A156" t="s">
        <v>504</v>
      </c>
      <c r="B156" s="11">
        <f t="shared" si="13"/>
        <v>435</v>
      </c>
      <c r="C156" s="11" t="str">
        <f t="shared" si="14"/>
        <v>I W30X435</v>
      </c>
      <c r="D156" s="5" t="s">
        <v>236</v>
      </c>
      <c r="E156" s="5" t="str">
        <f t="shared" si="15"/>
        <v>I - 813 x 389 x 25.91 x 46.99</v>
      </c>
      <c r="F156" s="25">
        <v>434.54271999999997</v>
      </c>
      <c r="G156" s="6">
        <v>813</v>
      </c>
      <c r="H156" s="6">
        <v>389</v>
      </c>
      <c r="I156" s="6">
        <v>25.91</v>
      </c>
      <c r="J156" s="6">
        <v>46.99</v>
      </c>
      <c r="K156" s="6"/>
      <c r="L156" s="6">
        <v>55483.76</v>
      </c>
      <c r="N156" s="5" t="str">
        <f t="shared" si="16"/>
        <v>I - 813 x 389 x 28 x 50</v>
      </c>
      <c r="O156" s="25">
        <f t="shared" si="17"/>
        <v>462.08240000000001</v>
      </c>
      <c r="P156" s="6">
        <f t="shared" si="18"/>
        <v>813</v>
      </c>
      <c r="Q156" s="6">
        <f t="shared" si="18"/>
        <v>389</v>
      </c>
      <c r="R156" s="6" cm="1">
        <f t="array" ref="R156">IF(I156-LOOKUP(I156, $Y$4:$Y$26) &lt;= 0.1, LOOKUP(I156, $Y$4:$Y$26), MIN(_xlfn._xlws.FILTER($Y$4:$Y$26, $Y$4:$Y$26&gt;=I156)))</f>
        <v>28</v>
      </c>
      <c r="S156" s="6" cm="1">
        <f t="array" ref="S156">IF(J156-LOOKUP(J156, $Y$4:$Y$26) &lt;= 0.1, LOOKUP(J156, $Y$4:$Y$26), MIN(_xlfn._xlws.FILTER($Y$4:$Y$26, $Y$4:$Y$26&gt;=J156)))</f>
        <v>50</v>
      </c>
    </row>
    <row r="157" spans="1:19" x14ac:dyDescent="0.25">
      <c r="A157" t="s">
        <v>504</v>
      </c>
      <c r="B157" s="11">
        <f t="shared" si="13"/>
        <v>388</v>
      </c>
      <c r="C157" s="11" t="str">
        <f t="shared" si="14"/>
        <v>I W30X388</v>
      </c>
      <c r="D157" s="5" t="s">
        <v>237</v>
      </c>
      <c r="E157" s="5" t="str">
        <f t="shared" si="15"/>
        <v>I - 803 x 387 x 23.63 x 41.91</v>
      </c>
      <c r="F157" s="25">
        <v>388.40976000000001</v>
      </c>
      <c r="G157" s="6">
        <v>803</v>
      </c>
      <c r="H157" s="6">
        <v>387</v>
      </c>
      <c r="I157" s="6">
        <v>23.630000000000003</v>
      </c>
      <c r="J157" s="6">
        <v>41.91</v>
      </c>
      <c r="K157" s="6"/>
      <c r="L157" s="6">
        <v>49677.32</v>
      </c>
      <c r="N157" s="5" t="str">
        <f t="shared" si="16"/>
        <v>I - 803 x 387 x 25 x 45</v>
      </c>
      <c r="O157" s="25">
        <f t="shared" si="17"/>
        <v>413.34174999999999</v>
      </c>
      <c r="P157" s="6">
        <f t="shared" si="18"/>
        <v>803</v>
      </c>
      <c r="Q157" s="6">
        <f t="shared" si="18"/>
        <v>387</v>
      </c>
      <c r="R157" s="6" cm="1">
        <f t="array" ref="R157">IF(I157-LOOKUP(I157, $Y$4:$Y$26) &lt;= 0.1, LOOKUP(I157, $Y$4:$Y$26), MIN(_xlfn._xlws.FILTER($Y$4:$Y$26, $Y$4:$Y$26&gt;=I157)))</f>
        <v>25</v>
      </c>
      <c r="S157" s="6" cm="1">
        <f t="array" ref="S157">IF(J157-LOOKUP(J157, $Y$4:$Y$26) &lt;= 0.1, LOOKUP(J157, $Y$4:$Y$26), MIN(_xlfn._xlws.FILTER($Y$4:$Y$26, $Y$4:$Y$26&gt;=J157)))</f>
        <v>45</v>
      </c>
    </row>
    <row r="158" spans="1:19" x14ac:dyDescent="0.25">
      <c r="A158" t="s">
        <v>504</v>
      </c>
      <c r="B158" s="11">
        <f t="shared" si="13"/>
        <v>350</v>
      </c>
      <c r="C158" s="11" t="str">
        <f t="shared" si="14"/>
        <v>I W30X350</v>
      </c>
      <c r="D158" s="5" t="s">
        <v>238</v>
      </c>
      <c r="E158" s="5" t="str">
        <f t="shared" si="15"/>
        <v>I - 796 x 384 x 21.09 x 38.1</v>
      </c>
      <c r="F158" s="25">
        <v>349.7176</v>
      </c>
      <c r="G158" s="6">
        <v>796</v>
      </c>
      <c r="H158" s="6">
        <v>384</v>
      </c>
      <c r="I158" s="6">
        <v>21.09</v>
      </c>
      <c r="J158" s="6">
        <v>38.1</v>
      </c>
      <c r="K158" s="6"/>
      <c r="L158" s="6">
        <v>44709.587999999996</v>
      </c>
      <c r="N158" s="5" t="str">
        <f t="shared" si="16"/>
        <v>I - 796 x 384 x 22 x 40</v>
      </c>
      <c r="O158" s="25">
        <f t="shared" si="17"/>
        <v>364.80520000000001</v>
      </c>
      <c r="P158" s="6">
        <f t="shared" si="18"/>
        <v>796</v>
      </c>
      <c r="Q158" s="6">
        <f t="shared" si="18"/>
        <v>384</v>
      </c>
      <c r="R158" s="6" cm="1">
        <f t="array" ref="R158">IF(I158-LOOKUP(I158, $Y$4:$Y$26) &lt;= 0.1, LOOKUP(I158, $Y$4:$Y$26), MIN(_xlfn._xlws.FILTER($Y$4:$Y$26, $Y$4:$Y$26&gt;=I158)))</f>
        <v>22</v>
      </c>
      <c r="S158" s="6" cm="1">
        <f t="array" ref="S158">IF(J158-LOOKUP(J158, $Y$4:$Y$26) &lt;= 0.1, LOOKUP(J158, $Y$4:$Y$26), MIN(_xlfn._xlws.FILTER($Y$4:$Y$26, $Y$4:$Y$26&gt;=J158)))</f>
        <v>40</v>
      </c>
    </row>
    <row r="159" spans="1:19" x14ac:dyDescent="0.25">
      <c r="A159" t="s">
        <v>504</v>
      </c>
      <c r="B159" s="11">
        <f t="shared" si="13"/>
        <v>314</v>
      </c>
      <c r="C159" s="11" t="str">
        <f t="shared" si="14"/>
        <v>I W30X314</v>
      </c>
      <c r="D159" s="5" t="s">
        <v>239</v>
      </c>
      <c r="E159" s="5" t="str">
        <f t="shared" si="15"/>
        <v>I - 785 x 384 x 19.69 x 33.53</v>
      </c>
      <c r="F159" s="25">
        <v>314.00175999999999</v>
      </c>
      <c r="G159" s="6">
        <v>785</v>
      </c>
      <c r="H159" s="6">
        <v>384</v>
      </c>
      <c r="I159" s="6">
        <v>19.690000000000001</v>
      </c>
      <c r="J159" s="6">
        <v>33.53</v>
      </c>
      <c r="K159" s="6"/>
      <c r="L159" s="6">
        <v>40193.467999999993</v>
      </c>
      <c r="N159" s="5" t="str">
        <f t="shared" si="16"/>
        <v>I - 785 x 384 x 20 x 35</v>
      </c>
      <c r="O159" s="25">
        <f t="shared" si="17"/>
        <v>323.26299999999998</v>
      </c>
      <c r="P159" s="6">
        <f t="shared" si="18"/>
        <v>785</v>
      </c>
      <c r="Q159" s="6">
        <f t="shared" si="18"/>
        <v>384</v>
      </c>
      <c r="R159" s="6" cm="1">
        <f t="array" ref="R159">IF(I159-LOOKUP(I159, $Y$4:$Y$26) &lt;= 0.1, LOOKUP(I159, $Y$4:$Y$26), MIN(_xlfn._xlws.FILTER($Y$4:$Y$26, $Y$4:$Y$26&gt;=I159)))</f>
        <v>20</v>
      </c>
      <c r="S159" s="6" cm="1">
        <f t="array" ref="S159">IF(J159-LOOKUP(J159, $Y$4:$Y$26) &lt;= 0.1, LOOKUP(J159, $Y$4:$Y$26), MIN(_xlfn._xlws.FILTER($Y$4:$Y$26, $Y$4:$Y$26&gt;=J159)))</f>
        <v>35</v>
      </c>
    </row>
    <row r="160" spans="1:19" x14ac:dyDescent="0.25">
      <c r="A160" t="s">
        <v>504</v>
      </c>
      <c r="B160" s="11">
        <f t="shared" si="13"/>
        <v>284</v>
      </c>
      <c r="C160" s="11" t="str">
        <f t="shared" si="14"/>
        <v>I W30X284</v>
      </c>
      <c r="D160" s="5" t="s">
        <v>240</v>
      </c>
      <c r="E160" s="5" t="str">
        <f t="shared" si="15"/>
        <v>I - 780 x 381 x 18.04 x 30.23</v>
      </c>
      <c r="F160" s="25">
        <v>284.23856000000001</v>
      </c>
      <c r="G160" s="6">
        <v>780</v>
      </c>
      <c r="H160" s="6">
        <v>381</v>
      </c>
      <c r="I160" s="6">
        <v>18.040000000000003</v>
      </c>
      <c r="J160" s="6">
        <v>30.23</v>
      </c>
      <c r="K160" s="6"/>
      <c r="L160" s="6">
        <v>36193.476000000002</v>
      </c>
      <c r="N160" s="5" t="str">
        <f t="shared" si="16"/>
        <v>I - 780 x 381 x 18 x 32</v>
      </c>
      <c r="O160" s="25">
        <f t="shared" si="17"/>
        <v>292.58519999999999</v>
      </c>
      <c r="P160" s="6">
        <f t="shared" si="18"/>
        <v>780</v>
      </c>
      <c r="Q160" s="6">
        <f t="shared" si="18"/>
        <v>381</v>
      </c>
      <c r="R160" s="6" cm="1">
        <f t="array" ref="R160">IF(I160-LOOKUP(I160, $Y$4:$Y$26) &lt;= 0.1, LOOKUP(I160, $Y$4:$Y$26), MIN(_xlfn._xlws.FILTER($Y$4:$Y$26, $Y$4:$Y$26&gt;=I160)))</f>
        <v>18</v>
      </c>
      <c r="S160" s="6" cm="1">
        <f t="array" ref="S160">IF(J160-LOOKUP(J160, $Y$4:$Y$26) &lt;= 0.1, LOOKUP(J160, $Y$4:$Y$26), MIN(_xlfn._xlws.FILTER($Y$4:$Y$26, $Y$4:$Y$26&gt;=J160)))</f>
        <v>32</v>
      </c>
    </row>
    <row r="161" spans="1:19" x14ac:dyDescent="0.25">
      <c r="A161" t="s">
        <v>504</v>
      </c>
      <c r="B161" s="11">
        <f t="shared" si="13"/>
        <v>257</v>
      </c>
      <c r="C161" s="11" t="str">
        <f t="shared" si="14"/>
        <v>I W30X257</v>
      </c>
      <c r="D161" s="5" t="s">
        <v>241</v>
      </c>
      <c r="E161" s="5" t="str">
        <f t="shared" si="15"/>
        <v>I - 773 x 381 x 16.64 x 27.18</v>
      </c>
      <c r="F161" s="25">
        <v>257.45168000000001</v>
      </c>
      <c r="G161" s="6">
        <v>773</v>
      </c>
      <c r="H161" s="6">
        <v>381</v>
      </c>
      <c r="I161" s="6">
        <v>16.64</v>
      </c>
      <c r="J161" s="6">
        <v>27.180000000000003</v>
      </c>
      <c r="K161" s="6"/>
      <c r="L161" s="6">
        <v>32838.644</v>
      </c>
      <c r="N161" s="5" t="str">
        <f t="shared" si="16"/>
        <v>I - 773 x 381 x 18 x 28</v>
      </c>
      <c r="O161" s="25">
        <f t="shared" si="17"/>
        <v>268.79969999999997</v>
      </c>
      <c r="P161" s="6">
        <f t="shared" si="18"/>
        <v>773</v>
      </c>
      <c r="Q161" s="6">
        <f t="shared" si="18"/>
        <v>381</v>
      </c>
      <c r="R161" s="6" cm="1">
        <f t="array" ref="R161">IF(I161-LOOKUP(I161, $Y$4:$Y$26) &lt;= 0.1, LOOKUP(I161, $Y$4:$Y$26), MIN(_xlfn._xlws.FILTER($Y$4:$Y$26, $Y$4:$Y$26&gt;=I161)))</f>
        <v>18</v>
      </c>
      <c r="S161" s="6" cm="1">
        <f t="array" ref="S161">IF(J161-LOOKUP(J161, $Y$4:$Y$26) &lt;= 0.1, LOOKUP(J161, $Y$4:$Y$26), MIN(_xlfn._xlws.FILTER($Y$4:$Y$26, $Y$4:$Y$26&gt;=J161)))</f>
        <v>28</v>
      </c>
    </row>
    <row r="162" spans="1:19" x14ac:dyDescent="0.25">
      <c r="A162" t="s">
        <v>504</v>
      </c>
      <c r="B162" s="11">
        <f t="shared" si="13"/>
        <v>220</v>
      </c>
      <c r="C162" s="11" t="str">
        <f t="shared" si="14"/>
        <v>I W30X220</v>
      </c>
      <c r="D162" s="5" t="s">
        <v>242</v>
      </c>
      <c r="E162" s="5" t="str">
        <f t="shared" si="15"/>
        <v>I - 780 x 267 x 16.51 x 29.98</v>
      </c>
      <c r="F162" s="25">
        <v>220.24768</v>
      </c>
      <c r="G162" s="6">
        <v>780</v>
      </c>
      <c r="H162" s="6">
        <v>267</v>
      </c>
      <c r="I162" s="6">
        <v>16.510000000000002</v>
      </c>
      <c r="J162" s="6">
        <v>29.98</v>
      </c>
      <c r="K162" s="6"/>
      <c r="L162" s="6">
        <v>28128.975999999999</v>
      </c>
      <c r="N162" s="5" t="str">
        <f t="shared" si="16"/>
        <v>I - 780 x 267 x 18 x 30</v>
      </c>
      <c r="O162" s="25">
        <f t="shared" si="17"/>
        <v>227.49299999999999</v>
      </c>
      <c r="P162" s="6">
        <f t="shared" si="18"/>
        <v>780</v>
      </c>
      <c r="Q162" s="6">
        <f t="shared" si="18"/>
        <v>267</v>
      </c>
      <c r="R162" s="6" cm="1">
        <f t="array" ref="R162">IF(I162-LOOKUP(I162, $Y$4:$Y$26) &lt;= 0.1, LOOKUP(I162, $Y$4:$Y$26), MIN(_xlfn._xlws.FILTER($Y$4:$Y$26, $Y$4:$Y$26&gt;=I162)))</f>
        <v>18</v>
      </c>
      <c r="S162" s="6" cm="1">
        <f t="array" ref="S162">IF(J162-LOOKUP(J162, $Y$4:$Y$26) &lt;= 0.1, LOOKUP(J162, $Y$4:$Y$26), MIN(_xlfn._xlws.FILTER($Y$4:$Y$26, $Y$4:$Y$26&gt;=J162)))</f>
        <v>30</v>
      </c>
    </row>
    <row r="163" spans="1:19" x14ac:dyDescent="0.25">
      <c r="A163" t="s">
        <v>504</v>
      </c>
      <c r="B163" s="11">
        <f t="shared" si="13"/>
        <v>196</v>
      </c>
      <c r="C163" s="11" t="str">
        <f t="shared" si="14"/>
        <v>I W30X196</v>
      </c>
      <c r="D163" s="5" t="s">
        <v>243</v>
      </c>
      <c r="E163" s="5" t="str">
        <f t="shared" si="15"/>
        <v>I - 770 x 267 x 15.63 x 25.4</v>
      </c>
      <c r="F163" s="25">
        <v>196.43711999999999</v>
      </c>
      <c r="G163" s="6">
        <v>770</v>
      </c>
      <c r="H163" s="6">
        <v>267</v>
      </c>
      <c r="I163" s="6">
        <v>15.629999999999999</v>
      </c>
      <c r="J163" s="6">
        <v>25.4</v>
      </c>
      <c r="K163" s="6"/>
      <c r="L163" s="6">
        <v>25032.207999999995</v>
      </c>
      <c r="N163" s="5" t="str">
        <f t="shared" si="16"/>
        <v>I - 770 x 267 x 16 x 28</v>
      </c>
      <c r="O163" s="25">
        <f t="shared" si="17"/>
        <v>207.05160000000001</v>
      </c>
      <c r="P163" s="6">
        <f t="shared" si="18"/>
        <v>770</v>
      </c>
      <c r="Q163" s="6">
        <f t="shared" si="18"/>
        <v>267</v>
      </c>
      <c r="R163" s="6" cm="1">
        <f t="array" ref="R163">IF(I163-LOOKUP(I163, $Y$4:$Y$26) &lt;= 0.1, LOOKUP(I163, $Y$4:$Y$26), MIN(_xlfn._xlws.FILTER($Y$4:$Y$26, $Y$4:$Y$26&gt;=I163)))</f>
        <v>16</v>
      </c>
      <c r="S163" s="6" cm="1">
        <f t="array" ref="S163">IF(J163-LOOKUP(J163, $Y$4:$Y$26) &lt;= 0.1, LOOKUP(J163, $Y$4:$Y$26), MIN(_xlfn._xlws.FILTER($Y$4:$Y$26, $Y$4:$Y$26&gt;=J163)))</f>
        <v>28</v>
      </c>
    </row>
    <row r="164" spans="1:19" x14ac:dyDescent="0.25">
      <c r="A164" t="s">
        <v>504</v>
      </c>
      <c r="B164" s="11">
        <f t="shared" si="13"/>
        <v>185</v>
      </c>
      <c r="C164" s="11" t="str">
        <f t="shared" si="14"/>
        <v>I W30X185</v>
      </c>
      <c r="D164" s="5" t="s">
        <v>244</v>
      </c>
      <c r="E164" s="5" t="str">
        <f t="shared" si="15"/>
        <v>I - 768 x 267 x 14.86 x 23.63</v>
      </c>
      <c r="F164" s="25">
        <v>184.53183999999999</v>
      </c>
      <c r="G164" s="6">
        <v>768</v>
      </c>
      <c r="H164" s="6">
        <v>267</v>
      </c>
      <c r="I164" s="6">
        <v>14.86</v>
      </c>
      <c r="J164" s="6">
        <v>23.630000000000003</v>
      </c>
      <c r="K164" s="6"/>
      <c r="L164" s="6">
        <v>23548.34</v>
      </c>
      <c r="N164" s="5" t="str">
        <f t="shared" si="16"/>
        <v>I - 768 x 267 x 16 x 25</v>
      </c>
      <c r="O164" s="25">
        <f t="shared" si="17"/>
        <v>194.97829999999999</v>
      </c>
      <c r="P164" s="6">
        <f t="shared" si="18"/>
        <v>768</v>
      </c>
      <c r="Q164" s="6">
        <f t="shared" si="18"/>
        <v>267</v>
      </c>
      <c r="R164" s="6" cm="1">
        <f t="array" ref="R164">IF(I164-LOOKUP(I164, $Y$4:$Y$26) &lt;= 0.1, LOOKUP(I164, $Y$4:$Y$26), MIN(_xlfn._xlws.FILTER($Y$4:$Y$26, $Y$4:$Y$26&gt;=I164)))</f>
        <v>16</v>
      </c>
      <c r="S164" s="6" cm="1">
        <f t="array" ref="S164">IF(J164-LOOKUP(J164, $Y$4:$Y$26) &lt;= 0.1, LOOKUP(J164, $Y$4:$Y$26), MIN(_xlfn._xlws.FILTER($Y$4:$Y$26, $Y$4:$Y$26&gt;=J164)))</f>
        <v>25</v>
      </c>
    </row>
    <row r="165" spans="1:19" x14ac:dyDescent="0.25">
      <c r="A165" t="s">
        <v>504</v>
      </c>
      <c r="B165" s="11">
        <f t="shared" si="13"/>
        <v>173</v>
      </c>
      <c r="C165" s="11" t="str">
        <f t="shared" si="14"/>
        <v>I W30X173</v>
      </c>
      <c r="D165" s="5" t="s">
        <v>245</v>
      </c>
      <c r="E165" s="5" t="str">
        <f t="shared" si="15"/>
        <v>I - 762 x 267 x 14.36 x 21.59</v>
      </c>
      <c r="F165" s="25">
        <v>172.62655999999998</v>
      </c>
      <c r="G165" s="6">
        <v>762</v>
      </c>
      <c r="H165" s="6">
        <v>267</v>
      </c>
      <c r="I165" s="6">
        <v>14.36</v>
      </c>
      <c r="J165" s="6">
        <v>21.59</v>
      </c>
      <c r="K165" s="6"/>
      <c r="L165" s="6">
        <v>22064.472000000002</v>
      </c>
      <c r="N165" s="5" t="str">
        <f t="shared" si="16"/>
        <v>I - 762 x 267 x 16 x 22</v>
      </c>
      <c r="O165" s="25">
        <f t="shared" si="17"/>
        <v>182.40260000000001</v>
      </c>
      <c r="P165" s="6">
        <f t="shared" si="18"/>
        <v>762</v>
      </c>
      <c r="Q165" s="6">
        <f t="shared" si="18"/>
        <v>267</v>
      </c>
      <c r="R165" s="6" cm="1">
        <f t="array" ref="R165">IF(I165-LOOKUP(I165, $Y$4:$Y$26) &lt;= 0.1, LOOKUP(I165, $Y$4:$Y$26), MIN(_xlfn._xlws.FILTER($Y$4:$Y$26, $Y$4:$Y$26&gt;=I165)))</f>
        <v>16</v>
      </c>
      <c r="S165" s="6" cm="1">
        <f t="array" ref="S165">IF(J165-LOOKUP(J165, $Y$4:$Y$26) &lt;= 0.1, LOOKUP(J165, $Y$4:$Y$26), MIN(_xlfn._xlws.FILTER($Y$4:$Y$26, $Y$4:$Y$26&gt;=J165)))</f>
        <v>22</v>
      </c>
    </row>
    <row r="166" spans="1:19" x14ac:dyDescent="0.25">
      <c r="A166" t="s">
        <v>504</v>
      </c>
      <c r="B166" s="11">
        <f t="shared" si="13"/>
        <v>161</v>
      </c>
      <c r="C166" s="11" t="str">
        <f t="shared" si="14"/>
        <v>I W30X161</v>
      </c>
      <c r="D166" s="5" t="s">
        <v>246</v>
      </c>
      <c r="E166" s="5" t="str">
        <f t="shared" si="15"/>
        <v>I - 757 x 267 x 13.85 x 19.31</v>
      </c>
      <c r="F166" s="25">
        <v>160.72127999999998</v>
      </c>
      <c r="G166" s="6">
        <v>757</v>
      </c>
      <c r="H166" s="6">
        <v>267</v>
      </c>
      <c r="I166" s="6">
        <v>13.85</v>
      </c>
      <c r="J166" s="6">
        <v>19.310000000000002</v>
      </c>
      <c r="K166" s="6"/>
      <c r="L166" s="6">
        <v>20451.571999999996</v>
      </c>
      <c r="N166" s="5" t="str">
        <f t="shared" si="16"/>
        <v>I - 757 x 267 x 14 x 20</v>
      </c>
      <c r="O166" s="25">
        <f t="shared" si="17"/>
        <v>162.63630000000001</v>
      </c>
      <c r="P166" s="6">
        <f t="shared" si="18"/>
        <v>757</v>
      </c>
      <c r="Q166" s="6">
        <f t="shared" si="18"/>
        <v>267</v>
      </c>
      <c r="R166" s="6" cm="1">
        <f t="array" ref="R166">IF(I166-LOOKUP(I166, $Y$4:$Y$26) &lt;= 0.1, LOOKUP(I166, $Y$4:$Y$26), MIN(_xlfn._xlws.FILTER($Y$4:$Y$26, $Y$4:$Y$26&gt;=I166)))</f>
        <v>14</v>
      </c>
      <c r="S166" s="6" cm="1">
        <f t="array" ref="S166">IF(J166-LOOKUP(J166, $Y$4:$Y$26) &lt;= 0.1, LOOKUP(J166, $Y$4:$Y$26), MIN(_xlfn._xlws.FILTER($Y$4:$Y$26, $Y$4:$Y$26&gt;=J166)))</f>
        <v>20</v>
      </c>
    </row>
    <row r="167" spans="1:19" x14ac:dyDescent="0.25">
      <c r="A167" t="s">
        <v>504</v>
      </c>
      <c r="B167" s="11">
        <f t="shared" si="13"/>
        <v>147</v>
      </c>
      <c r="C167" s="11" t="str">
        <f t="shared" si="14"/>
        <v>I W30X147</v>
      </c>
      <c r="D167" s="5" t="s">
        <v>247</v>
      </c>
      <c r="E167" s="5" t="str">
        <f t="shared" si="15"/>
        <v>I - 755 x 267 x 13.21 x 17.02</v>
      </c>
      <c r="F167" s="25">
        <v>147.32783999999998</v>
      </c>
      <c r="G167" s="6">
        <v>755</v>
      </c>
      <c r="H167" s="6">
        <v>267</v>
      </c>
      <c r="I167" s="6">
        <v>13.209999999999999</v>
      </c>
      <c r="J167" s="6">
        <v>17.020000000000003</v>
      </c>
      <c r="K167" s="6"/>
      <c r="L167" s="6">
        <v>18709.64</v>
      </c>
      <c r="N167" s="5" t="str">
        <f t="shared" si="16"/>
        <v>I - 755 x 267 x 14 x 18</v>
      </c>
      <c r="O167" s="25">
        <f t="shared" si="17"/>
        <v>154.47229999999999</v>
      </c>
      <c r="P167" s="6">
        <f t="shared" si="18"/>
        <v>755</v>
      </c>
      <c r="Q167" s="6">
        <f t="shared" si="18"/>
        <v>267</v>
      </c>
      <c r="R167" s="6" cm="1">
        <f t="array" ref="R167">IF(I167-LOOKUP(I167, $Y$4:$Y$26) &lt;= 0.1, LOOKUP(I167, $Y$4:$Y$26), MIN(_xlfn._xlws.FILTER($Y$4:$Y$26, $Y$4:$Y$26&gt;=I167)))</f>
        <v>14</v>
      </c>
      <c r="S167" s="6" cm="1">
        <f t="array" ref="S167">IF(J167-LOOKUP(J167, $Y$4:$Y$26) &lt;= 0.1, LOOKUP(J167, $Y$4:$Y$26), MIN(_xlfn._xlws.FILTER($Y$4:$Y$26, $Y$4:$Y$26&gt;=J167)))</f>
        <v>18</v>
      </c>
    </row>
    <row r="168" spans="1:19" x14ac:dyDescent="0.25">
      <c r="A168" t="s">
        <v>504</v>
      </c>
      <c r="B168" s="11">
        <f t="shared" si="13"/>
        <v>134</v>
      </c>
      <c r="C168" s="11" t="str">
        <f t="shared" si="14"/>
        <v>I W30X134</v>
      </c>
      <c r="D168" s="5" t="s">
        <v>248</v>
      </c>
      <c r="E168" s="5" t="str">
        <f t="shared" si="15"/>
        <v>I - 750 x 265 x 11.94 x 15.5</v>
      </c>
      <c r="F168" s="25">
        <v>133.93439999999998</v>
      </c>
      <c r="G168" s="6">
        <v>750</v>
      </c>
      <c r="H168" s="6">
        <v>265</v>
      </c>
      <c r="I168" s="6">
        <v>11.94</v>
      </c>
      <c r="J168" s="6">
        <v>15.5</v>
      </c>
      <c r="K168" s="6"/>
      <c r="L168" s="6">
        <v>16967.708000000002</v>
      </c>
      <c r="N168" s="5" t="str">
        <f t="shared" si="16"/>
        <v>I - 750 x 265 x 12 x 16</v>
      </c>
      <c r="O168" s="25">
        <f t="shared" si="17"/>
        <v>134.20359999999999</v>
      </c>
      <c r="P168" s="6">
        <f t="shared" si="18"/>
        <v>750</v>
      </c>
      <c r="Q168" s="6">
        <f t="shared" si="18"/>
        <v>265</v>
      </c>
      <c r="R168" s="6" cm="1">
        <f t="array" ref="R168">IF(I168-LOOKUP(I168, $Y$4:$Y$26) &lt;= 0.1, LOOKUP(I168, $Y$4:$Y$26), MIN(_xlfn._xlws.FILTER($Y$4:$Y$26, $Y$4:$Y$26&gt;=I168)))</f>
        <v>12</v>
      </c>
      <c r="S168" s="6" cm="1">
        <f t="array" ref="S168">IF(J168-LOOKUP(J168, $Y$4:$Y$26) &lt;= 0.1, LOOKUP(J168, $Y$4:$Y$26), MIN(_xlfn._xlws.FILTER($Y$4:$Y$26, $Y$4:$Y$26&gt;=J168)))</f>
        <v>16</v>
      </c>
    </row>
    <row r="169" spans="1:19" x14ac:dyDescent="0.25">
      <c r="A169" t="s">
        <v>505</v>
      </c>
      <c r="B169" s="11">
        <f t="shared" si="13"/>
        <v>802</v>
      </c>
      <c r="C169" s="11" t="str">
        <f t="shared" si="14"/>
        <v>I W27X802</v>
      </c>
      <c r="D169" s="5" t="s">
        <v>249</v>
      </c>
      <c r="E169" s="5" t="str">
        <f t="shared" si="15"/>
        <v>I - 826 x 389 x 50.04 x 89.92</v>
      </c>
      <c r="F169" s="25">
        <v>802.11824000000001</v>
      </c>
      <c r="G169" s="6">
        <v>826</v>
      </c>
      <c r="H169" s="6">
        <v>389</v>
      </c>
      <c r="I169" s="6">
        <v>50.04</v>
      </c>
      <c r="J169" s="6">
        <v>89.92</v>
      </c>
      <c r="K169" s="6"/>
      <c r="L169" s="6">
        <v>102580.43999999999</v>
      </c>
      <c r="N169" s="5" t="str">
        <f t="shared" si="16"/>
        <v>I - 826 x 389 x 50 x 90</v>
      </c>
      <c r="O169" s="25">
        <f t="shared" si="17"/>
        <v>803.21199999999999</v>
      </c>
      <c r="P169" s="6">
        <f t="shared" si="18"/>
        <v>826</v>
      </c>
      <c r="Q169" s="6">
        <f t="shared" si="18"/>
        <v>389</v>
      </c>
      <c r="R169" s="6" cm="1">
        <f t="array" ref="R169">IF(I169-LOOKUP(I169, $Y$4:$Y$26) &lt;= 0.1, LOOKUP(I169, $Y$4:$Y$26), MIN(_xlfn._xlws.FILTER($Y$4:$Y$26, $Y$4:$Y$26&gt;=I169)))</f>
        <v>50</v>
      </c>
      <c r="S169" s="6" cm="1">
        <f t="array" ref="S169">IF(J169-LOOKUP(J169, $Y$4:$Y$26) &lt;= 0.1, LOOKUP(J169, $Y$4:$Y$26), MIN(_xlfn._xlws.FILTER($Y$4:$Y$26, $Y$4:$Y$26&gt;=J169)))</f>
        <v>90</v>
      </c>
    </row>
    <row r="170" spans="1:19" x14ac:dyDescent="0.25">
      <c r="A170" t="s">
        <v>505</v>
      </c>
      <c r="B170" s="11">
        <f t="shared" si="13"/>
        <v>548</v>
      </c>
      <c r="C170" s="11" t="str">
        <f t="shared" si="14"/>
        <v>I W27X548</v>
      </c>
      <c r="D170" s="5" t="s">
        <v>250</v>
      </c>
      <c r="E170" s="5" t="str">
        <f t="shared" si="15"/>
        <v>I - 773 x 374 x 35.06 x 63</v>
      </c>
      <c r="F170" s="25">
        <v>547.64287999999999</v>
      </c>
      <c r="G170" s="6">
        <v>773</v>
      </c>
      <c r="H170" s="6">
        <v>374</v>
      </c>
      <c r="I170" s="6">
        <v>35.059999999999995</v>
      </c>
      <c r="J170" s="6">
        <v>63</v>
      </c>
      <c r="K170" s="6"/>
      <c r="L170" s="6">
        <v>70322.44</v>
      </c>
      <c r="N170" s="5" t="str">
        <f t="shared" si="16"/>
        <v>I - 773 x 374 x 35 x 70</v>
      </c>
      <c r="O170" s="25">
        <f t="shared" si="17"/>
        <v>584.94275000000005</v>
      </c>
      <c r="P170" s="6">
        <f t="shared" si="18"/>
        <v>773</v>
      </c>
      <c r="Q170" s="6">
        <f t="shared" si="18"/>
        <v>374</v>
      </c>
      <c r="R170" s="6" cm="1">
        <f t="array" ref="R170">IF(I170-LOOKUP(I170, $Y$4:$Y$26) &lt;= 0.1, LOOKUP(I170, $Y$4:$Y$26), MIN(_xlfn._xlws.FILTER($Y$4:$Y$26, $Y$4:$Y$26&gt;=I170)))</f>
        <v>35</v>
      </c>
      <c r="S170" s="6" cm="1">
        <f t="array" ref="S170">IF(J170-LOOKUP(J170, $Y$4:$Y$26) &lt;= 0.1, LOOKUP(J170, $Y$4:$Y$26), MIN(_xlfn._xlws.FILTER($Y$4:$Y$26, $Y$4:$Y$26&gt;=J170)))</f>
        <v>70</v>
      </c>
    </row>
    <row r="171" spans="1:19" x14ac:dyDescent="0.25">
      <c r="A171" t="s">
        <v>505</v>
      </c>
      <c r="B171" s="11">
        <f t="shared" si="13"/>
        <v>500</v>
      </c>
      <c r="C171" s="11" t="str">
        <f t="shared" si="14"/>
        <v>I W27X500</v>
      </c>
      <c r="D171" s="5" t="s">
        <v>251</v>
      </c>
      <c r="E171" s="5" t="str">
        <f t="shared" si="15"/>
        <v>I - 762 x 371 x 32.01 x 57.92</v>
      </c>
      <c r="F171" s="25">
        <v>500.02175999999997</v>
      </c>
      <c r="G171" s="6">
        <v>762</v>
      </c>
      <c r="H171" s="6">
        <v>371</v>
      </c>
      <c r="I171" s="6">
        <v>32.01</v>
      </c>
      <c r="J171" s="6">
        <v>57.919999999999995</v>
      </c>
      <c r="K171" s="6"/>
      <c r="L171" s="6">
        <v>63999.871999999996</v>
      </c>
      <c r="N171" s="5" t="str">
        <f t="shared" si="16"/>
        <v>I - 762 x 371 x 32 x 60</v>
      </c>
      <c r="O171" s="25">
        <f t="shared" si="17"/>
        <v>510.75240000000002</v>
      </c>
      <c r="P171" s="6">
        <f t="shared" si="18"/>
        <v>762</v>
      </c>
      <c r="Q171" s="6">
        <f t="shared" si="18"/>
        <v>371</v>
      </c>
      <c r="R171" s="6" cm="1">
        <f t="array" ref="R171">IF(I171-LOOKUP(I171, $Y$4:$Y$26) &lt;= 0.1, LOOKUP(I171, $Y$4:$Y$26), MIN(_xlfn._xlws.FILTER($Y$4:$Y$26, $Y$4:$Y$26&gt;=I171)))</f>
        <v>32</v>
      </c>
      <c r="S171" s="6" cm="1">
        <f t="array" ref="S171">IF(J171-LOOKUP(J171, $Y$4:$Y$26) &lt;= 0.1, LOOKUP(J171, $Y$4:$Y$26), MIN(_xlfn._xlws.FILTER($Y$4:$Y$26, $Y$4:$Y$26&gt;=J171)))</f>
        <v>60</v>
      </c>
    </row>
    <row r="172" spans="1:19" x14ac:dyDescent="0.25">
      <c r="A172" t="s">
        <v>505</v>
      </c>
      <c r="B172" s="11">
        <f t="shared" si="13"/>
        <v>457</v>
      </c>
      <c r="C172" s="11" t="str">
        <f t="shared" si="14"/>
        <v>I W27X457</v>
      </c>
      <c r="D172" s="5" t="s">
        <v>252</v>
      </c>
      <c r="E172" s="5" t="str">
        <f t="shared" si="15"/>
        <v>I - 752 x 366 x 29.47 x 53.09</v>
      </c>
      <c r="F172" s="25">
        <v>456.86511999999999</v>
      </c>
      <c r="G172" s="6">
        <v>752</v>
      </c>
      <c r="H172" s="6">
        <v>366</v>
      </c>
      <c r="I172" s="6">
        <v>29.470000000000002</v>
      </c>
      <c r="J172" s="6">
        <v>53.089999999999996</v>
      </c>
      <c r="K172" s="6"/>
      <c r="L172" s="6">
        <v>58193.432000000001</v>
      </c>
      <c r="N172" s="5" t="str">
        <f t="shared" si="16"/>
        <v>I - 752 x 366 x 30 x 60</v>
      </c>
      <c r="O172" s="25">
        <f t="shared" si="17"/>
        <v>493.608</v>
      </c>
      <c r="P172" s="6">
        <f t="shared" si="18"/>
        <v>752</v>
      </c>
      <c r="Q172" s="6">
        <f t="shared" si="18"/>
        <v>366</v>
      </c>
      <c r="R172" s="6" cm="1">
        <f t="array" ref="R172">IF(I172-LOOKUP(I172, $Y$4:$Y$26) &lt;= 0.1, LOOKUP(I172, $Y$4:$Y$26), MIN(_xlfn._xlws.FILTER($Y$4:$Y$26, $Y$4:$Y$26&gt;=I172)))</f>
        <v>30</v>
      </c>
      <c r="S172" s="6" cm="1">
        <f t="array" ref="S172">IF(J172-LOOKUP(J172, $Y$4:$Y$26) &lt;= 0.1, LOOKUP(J172, $Y$4:$Y$26), MIN(_xlfn._xlws.FILTER($Y$4:$Y$26, $Y$4:$Y$26&gt;=J172)))</f>
        <v>60</v>
      </c>
    </row>
    <row r="173" spans="1:19" x14ac:dyDescent="0.25">
      <c r="A173" t="s">
        <v>505</v>
      </c>
      <c r="B173" s="11">
        <f t="shared" si="13"/>
        <v>418</v>
      </c>
      <c r="C173" s="11" t="str">
        <f t="shared" si="14"/>
        <v>I W27X418</v>
      </c>
      <c r="D173" s="5" t="s">
        <v>253</v>
      </c>
      <c r="E173" s="5" t="str">
        <f t="shared" si="15"/>
        <v>I - 745 x 366 x 26.93 x 49.03</v>
      </c>
      <c r="F173" s="25">
        <v>418.17295999999999</v>
      </c>
      <c r="G173" s="6">
        <v>745</v>
      </c>
      <c r="H173" s="6">
        <v>366</v>
      </c>
      <c r="I173" s="6">
        <v>26.930000000000003</v>
      </c>
      <c r="J173" s="6">
        <v>49.03</v>
      </c>
      <c r="K173" s="6"/>
      <c r="L173" s="6">
        <v>53612.795999999995</v>
      </c>
      <c r="N173" s="5" t="str">
        <f t="shared" si="16"/>
        <v>I - 745 x 366 x 28 x 50</v>
      </c>
      <c r="O173" s="25">
        <f t="shared" si="17"/>
        <v>429.08100000000002</v>
      </c>
      <c r="P173" s="6">
        <f t="shared" si="18"/>
        <v>745</v>
      </c>
      <c r="Q173" s="6">
        <f t="shared" si="18"/>
        <v>366</v>
      </c>
      <c r="R173" s="6" cm="1">
        <f t="array" ref="R173">IF(I173-LOOKUP(I173, $Y$4:$Y$26) &lt;= 0.1, LOOKUP(I173, $Y$4:$Y$26), MIN(_xlfn._xlws.FILTER($Y$4:$Y$26, $Y$4:$Y$26&gt;=I173)))</f>
        <v>28</v>
      </c>
      <c r="S173" s="6" cm="1">
        <f t="array" ref="S173">IF(J173-LOOKUP(J173, $Y$4:$Y$26) &lt;= 0.1, LOOKUP(J173, $Y$4:$Y$26), MIN(_xlfn._xlws.FILTER($Y$4:$Y$26, $Y$4:$Y$26&gt;=J173)))</f>
        <v>50</v>
      </c>
    </row>
    <row r="174" spans="1:19" x14ac:dyDescent="0.25">
      <c r="A174" t="s">
        <v>505</v>
      </c>
      <c r="B174" s="11">
        <f t="shared" si="13"/>
        <v>384</v>
      </c>
      <c r="C174" s="11" t="str">
        <f t="shared" si="14"/>
        <v>I W27X384</v>
      </c>
      <c r="D174" s="5" t="s">
        <v>254</v>
      </c>
      <c r="E174" s="5" t="str">
        <f t="shared" si="15"/>
        <v>I - 737 x 364 x 24.9 x 44.96</v>
      </c>
      <c r="F174" s="25">
        <v>383.94527999999997</v>
      </c>
      <c r="G174" s="6">
        <v>737</v>
      </c>
      <c r="H174" s="6">
        <v>364</v>
      </c>
      <c r="I174" s="6">
        <v>24.900000000000002</v>
      </c>
      <c r="J174" s="6">
        <v>44.96</v>
      </c>
      <c r="K174" s="6"/>
      <c r="L174" s="6">
        <v>49096.675999999992</v>
      </c>
      <c r="N174" s="5" t="str">
        <f t="shared" si="16"/>
        <v>I - 737 x 364 x 25 x 45</v>
      </c>
      <c r="O174" s="25">
        <f t="shared" si="17"/>
        <v>384.13974999999999</v>
      </c>
      <c r="P174" s="6">
        <f t="shared" si="18"/>
        <v>737</v>
      </c>
      <c r="Q174" s="6">
        <f t="shared" si="18"/>
        <v>364</v>
      </c>
      <c r="R174" s="6" cm="1">
        <f t="array" ref="R174">IF(I174-LOOKUP(I174, $Y$4:$Y$26) &lt;= 0.1, LOOKUP(I174, $Y$4:$Y$26), MIN(_xlfn._xlws.FILTER($Y$4:$Y$26, $Y$4:$Y$26&gt;=I174)))</f>
        <v>25</v>
      </c>
      <c r="S174" s="6" cm="1">
        <f t="array" ref="S174">IF(J174-LOOKUP(J174, $Y$4:$Y$26) &lt;= 0.1, LOOKUP(J174, $Y$4:$Y$26), MIN(_xlfn._xlws.FILTER($Y$4:$Y$26, $Y$4:$Y$26&gt;=J174)))</f>
        <v>45</v>
      </c>
    </row>
    <row r="175" spans="1:19" x14ac:dyDescent="0.25">
      <c r="A175" t="s">
        <v>505</v>
      </c>
      <c r="B175" s="11">
        <f t="shared" si="13"/>
        <v>350</v>
      </c>
      <c r="C175" s="11" t="str">
        <f t="shared" si="14"/>
        <v>I W27X350</v>
      </c>
      <c r="D175" s="5" t="s">
        <v>255</v>
      </c>
      <c r="E175" s="5" t="str">
        <f t="shared" si="15"/>
        <v>I - 729 x 361 x 23.12 x 40.9</v>
      </c>
      <c r="F175" s="25">
        <v>349.7176</v>
      </c>
      <c r="G175" s="6">
        <v>729</v>
      </c>
      <c r="H175" s="6">
        <v>361</v>
      </c>
      <c r="I175" s="6">
        <v>23.12</v>
      </c>
      <c r="J175" s="6">
        <v>40.9</v>
      </c>
      <c r="K175" s="6"/>
      <c r="L175" s="6">
        <v>44774.103999999999</v>
      </c>
      <c r="N175" s="5" t="str">
        <f t="shared" si="16"/>
        <v>I - 729 x 361 x 25 x 45</v>
      </c>
      <c r="O175" s="25">
        <f t="shared" si="17"/>
        <v>380.45024999999998</v>
      </c>
      <c r="P175" s="6">
        <f t="shared" si="18"/>
        <v>729</v>
      </c>
      <c r="Q175" s="6">
        <f t="shared" si="18"/>
        <v>361</v>
      </c>
      <c r="R175" s="6" cm="1">
        <f t="array" ref="R175">IF(I175-LOOKUP(I175, $Y$4:$Y$26) &lt;= 0.1, LOOKUP(I175, $Y$4:$Y$26), MIN(_xlfn._xlws.FILTER($Y$4:$Y$26, $Y$4:$Y$26&gt;=I175)))</f>
        <v>25</v>
      </c>
      <c r="S175" s="6" cm="1">
        <f t="array" ref="S175">IF(J175-LOOKUP(J175, $Y$4:$Y$26) &lt;= 0.1, LOOKUP(J175, $Y$4:$Y$26), MIN(_xlfn._xlws.FILTER($Y$4:$Y$26, $Y$4:$Y$26&gt;=J175)))</f>
        <v>45</v>
      </c>
    </row>
    <row r="176" spans="1:19" x14ac:dyDescent="0.25">
      <c r="A176" t="s">
        <v>505</v>
      </c>
      <c r="B176" s="11">
        <f t="shared" si="13"/>
        <v>323</v>
      </c>
      <c r="C176" s="11" t="str">
        <f t="shared" si="14"/>
        <v>I W27X323</v>
      </c>
      <c r="D176" s="5" t="s">
        <v>256</v>
      </c>
      <c r="E176" s="5" t="str">
        <f t="shared" si="15"/>
        <v>I - 722 x 359 x 21.09 x 38.1</v>
      </c>
      <c r="F176" s="25">
        <v>322.93072000000001</v>
      </c>
      <c r="G176" s="6">
        <v>722</v>
      </c>
      <c r="H176" s="6">
        <v>359</v>
      </c>
      <c r="I176" s="6">
        <v>21.09</v>
      </c>
      <c r="J176" s="6">
        <v>38.1</v>
      </c>
      <c r="K176" s="6"/>
      <c r="L176" s="6">
        <v>41225.723999999995</v>
      </c>
      <c r="N176" s="5" t="str">
        <f t="shared" si="16"/>
        <v>I - 722 x 359 x 22 x 40</v>
      </c>
      <c r="O176" s="25">
        <f t="shared" si="17"/>
        <v>336.3254</v>
      </c>
      <c r="P176" s="6">
        <f t="shared" si="18"/>
        <v>722</v>
      </c>
      <c r="Q176" s="6">
        <f t="shared" si="18"/>
        <v>359</v>
      </c>
      <c r="R176" s="6" cm="1">
        <f t="array" ref="R176">IF(I176-LOOKUP(I176, $Y$4:$Y$26) &lt;= 0.1, LOOKUP(I176, $Y$4:$Y$26), MIN(_xlfn._xlws.FILTER($Y$4:$Y$26, $Y$4:$Y$26&gt;=I176)))</f>
        <v>22</v>
      </c>
      <c r="S176" s="6" cm="1">
        <f t="array" ref="S176">IF(J176-LOOKUP(J176, $Y$4:$Y$26) &lt;= 0.1, LOOKUP(J176, $Y$4:$Y$26), MIN(_xlfn._xlws.FILTER($Y$4:$Y$26, $Y$4:$Y$26&gt;=J176)))</f>
        <v>40</v>
      </c>
    </row>
    <row r="177" spans="1:19" x14ac:dyDescent="0.25">
      <c r="A177" t="s">
        <v>505</v>
      </c>
      <c r="B177" s="11">
        <f t="shared" si="13"/>
        <v>289</v>
      </c>
      <c r="C177" s="11" t="str">
        <f t="shared" si="14"/>
        <v>I W27X289</v>
      </c>
      <c r="D177" s="5" t="s">
        <v>257</v>
      </c>
      <c r="E177" s="5" t="str">
        <f t="shared" si="15"/>
        <v>I - 714 x 356 x 19.05 x 34.04</v>
      </c>
      <c r="F177" s="25">
        <v>288.70303999999999</v>
      </c>
      <c r="G177" s="6">
        <v>714</v>
      </c>
      <c r="H177" s="6">
        <v>356</v>
      </c>
      <c r="I177" s="6">
        <v>19.05</v>
      </c>
      <c r="J177" s="6">
        <v>34.04</v>
      </c>
      <c r="K177" s="6"/>
      <c r="L177" s="6">
        <v>36838.635999999999</v>
      </c>
      <c r="N177" s="5" t="str">
        <f t="shared" si="16"/>
        <v>I - 714 x 356 x 20 x 35</v>
      </c>
      <c r="O177" s="25">
        <f t="shared" si="17"/>
        <v>296.73</v>
      </c>
      <c r="P177" s="6">
        <f t="shared" si="18"/>
        <v>714</v>
      </c>
      <c r="Q177" s="6">
        <f t="shared" si="18"/>
        <v>356</v>
      </c>
      <c r="R177" s="6" cm="1">
        <f t="array" ref="R177">IF(I177-LOOKUP(I177, $Y$4:$Y$26) &lt;= 0.1, LOOKUP(I177, $Y$4:$Y$26), MIN(_xlfn._xlws.FILTER($Y$4:$Y$26, $Y$4:$Y$26&gt;=I177)))</f>
        <v>20</v>
      </c>
      <c r="S177" s="6" cm="1">
        <f t="array" ref="S177">IF(J177-LOOKUP(J177, $Y$4:$Y$26) &lt;= 0.1, LOOKUP(J177, $Y$4:$Y$26), MIN(_xlfn._xlws.FILTER($Y$4:$Y$26, $Y$4:$Y$26&gt;=J177)))</f>
        <v>35</v>
      </c>
    </row>
    <row r="178" spans="1:19" x14ac:dyDescent="0.25">
      <c r="A178" t="s">
        <v>505</v>
      </c>
      <c r="B178" s="11">
        <f t="shared" si="13"/>
        <v>265</v>
      </c>
      <c r="C178" s="11" t="str">
        <f t="shared" si="14"/>
        <v>I W27X265</v>
      </c>
      <c r="D178" s="5" t="s">
        <v>258</v>
      </c>
      <c r="E178" s="5" t="str">
        <f t="shared" si="15"/>
        <v>H - 707 x 359 x 18.42 x 30.23</v>
      </c>
      <c r="F178" s="25">
        <v>264.89247999999998</v>
      </c>
      <c r="G178" s="6">
        <v>707</v>
      </c>
      <c r="H178" s="6">
        <v>359</v>
      </c>
      <c r="I178" s="6">
        <v>18.420000000000002</v>
      </c>
      <c r="J178" s="6">
        <v>30.23</v>
      </c>
      <c r="K178" s="6"/>
      <c r="L178" s="6">
        <v>33870.9</v>
      </c>
      <c r="N178" s="5" t="str">
        <f t="shared" si="16"/>
        <v>H - 707 x 359 x 20 x 32</v>
      </c>
      <c r="O178" s="25">
        <f t="shared" si="17"/>
        <v>281.31259999999997</v>
      </c>
      <c r="P178" s="6">
        <f t="shared" si="18"/>
        <v>707</v>
      </c>
      <c r="Q178" s="6">
        <f t="shared" si="18"/>
        <v>359</v>
      </c>
      <c r="R178" s="6" cm="1">
        <f t="array" ref="R178">IF(I178-LOOKUP(I178, $Y$4:$Y$26) &lt;= 0.1, LOOKUP(I178, $Y$4:$Y$26), MIN(_xlfn._xlws.FILTER($Y$4:$Y$26, $Y$4:$Y$26&gt;=I178)))</f>
        <v>20</v>
      </c>
      <c r="S178" s="6" cm="1">
        <f t="array" ref="S178">IF(J178-LOOKUP(J178, $Y$4:$Y$26) &lt;= 0.1, LOOKUP(J178, $Y$4:$Y$26), MIN(_xlfn._xlws.FILTER($Y$4:$Y$26, $Y$4:$Y$26&gt;=J178)))</f>
        <v>32</v>
      </c>
    </row>
    <row r="179" spans="1:19" x14ac:dyDescent="0.25">
      <c r="A179" t="s">
        <v>505</v>
      </c>
      <c r="B179" s="11">
        <f t="shared" si="13"/>
        <v>240</v>
      </c>
      <c r="C179" s="11" t="str">
        <f t="shared" si="14"/>
        <v>I W27X240</v>
      </c>
      <c r="D179" s="5" t="s">
        <v>259</v>
      </c>
      <c r="E179" s="5" t="str">
        <f t="shared" si="15"/>
        <v>H - 702 x 356 x 16.77 x 27.44</v>
      </c>
      <c r="F179" s="25">
        <v>239.59375999999997</v>
      </c>
      <c r="G179" s="6">
        <v>702</v>
      </c>
      <c r="H179" s="6">
        <v>356</v>
      </c>
      <c r="I179" s="6">
        <v>16.770000000000003</v>
      </c>
      <c r="J179" s="6">
        <v>27.44</v>
      </c>
      <c r="K179" s="6"/>
      <c r="L179" s="6">
        <v>30709.615999999998</v>
      </c>
      <c r="N179" s="5" t="str">
        <f t="shared" si="16"/>
        <v>H - 702 x 356 x 18 x 28</v>
      </c>
      <c r="O179" s="25">
        <f t="shared" si="17"/>
        <v>247.7774</v>
      </c>
      <c r="P179" s="6">
        <f t="shared" si="18"/>
        <v>702</v>
      </c>
      <c r="Q179" s="6">
        <f t="shared" si="18"/>
        <v>356</v>
      </c>
      <c r="R179" s="6" cm="1">
        <f t="array" ref="R179">IF(I179-LOOKUP(I179, $Y$4:$Y$26) &lt;= 0.1, LOOKUP(I179, $Y$4:$Y$26), MIN(_xlfn._xlws.FILTER($Y$4:$Y$26, $Y$4:$Y$26&gt;=I179)))</f>
        <v>18</v>
      </c>
      <c r="S179" s="6" cm="1">
        <f t="array" ref="S179">IF(J179-LOOKUP(J179, $Y$4:$Y$26) &lt;= 0.1, LOOKUP(J179, $Y$4:$Y$26), MIN(_xlfn._xlws.FILTER($Y$4:$Y$26, $Y$4:$Y$26&gt;=J179)))</f>
        <v>28</v>
      </c>
    </row>
    <row r="180" spans="1:19" x14ac:dyDescent="0.25">
      <c r="A180" t="s">
        <v>505</v>
      </c>
      <c r="B180" s="11">
        <f t="shared" si="13"/>
        <v>217</v>
      </c>
      <c r="C180" s="11" t="str">
        <f t="shared" si="14"/>
        <v>I W27X217</v>
      </c>
      <c r="D180" s="5" t="s">
        <v>260</v>
      </c>
      <c r="E180" s="5" t="str">
        <f t="shared" si="15"/>
        <v>H - 696 x 356 x 15.37 x 24.77</v>
      </c>
      <c r="F180" s="25">
        <v>217.27135999999999</v>
      </c>
      <c r="G180" s="6">
        <v>696</v>
      </c>
      <c r="H180" s="6">
        <v>356</v>
      </c>
      <c r="I180" s="6">
        <v>15.37</v>
      </c>
      <c r="J180" s="6">
        <v>24.770000000000003</v>
      </c>
      <c r="K180" s="6"/>
      <c r="L180" s="6">
        <v>27870.912</v>
      </c>
      <c r="N180" s="5" t="str">
        <f t="shared" si="16"/>
        <v>H - 696 x 356 x 16 x 25</v>
      </c>
      <c r="O180" s="25">
        <f t="shared" si="17"/>
        <v>220.86760000000001</v>
      </c>
      <c r="P180" s="6">
        <f t="shared" si="18"/>
        <v>696</v>
      </c>
      <c r="Q180" s="6">
        <f t="shared" si="18"/>
        <v>356</v>
      </c>
      <c r="R180" s="6" cm="1">
        <f t="array" ref="R180">IF(I180-LOOKUP(I180, $Y$4:$Y$26) &lt;= 0.1, LOOKUP(I180, $Y$4:$Y$26), MIN(_xlfn._xlws.FILTER($Y$4:$Y$26, $Y$4:$Y$26&gt;=I180)))</f>
        <v>16</v>
      </c>
      <c r="S180" s="6" cm="1">
        <f t="array" ref="S180">IF(J180-LOOKUP(J180, $Y$4:$Y$26) &lt;= 0.1, LOOKUP(J180, $Y$4:$Y$26), MIN(_xlfn._xlws.FILTER($Y$4:$Y$26, $Y$4:$Y$26&gt;=J180)))</f>
        <v>25</v>
      </c>
    </row>
    <row r="181" spans="1:19" x14ac:dyDescent="0.25">
      <c r="A181" t="s">
        <v>505</v>
      </c>
      <c r="B181" s="11">
        <f t="shared" si="13"/>
        <v>192</v>
      </c>
      <c r="C181" s="11" t="str">
        <f t="shared" si="14"/>
        <v>I W27X192</v>
      </c>
      <c r="D181" s="5" t="s">
        <v>261</v>
      </c>
      <c r="E181" s="5" t="str">
        <f t="shared" si="15"/>
        <v>I - 702 x 254 x 15.5 x 27.94</v>
      </c>
      <c r="F181" s="25">
        <v>191.97263999999998</v>
      </c>
      <c r="G181" s="6">
        <v>702</v>
      </c>
      <c r="H181" s="6">
        <v>254</v>
      </c>
      <c r="I181" s="6">
        <v>15.5</v>
      </c>
      <c r="J181" s="6">
        <v>27.94</v>
      </c>
      <c r="K181" s="6"/>
      <c r="L181" s="6">
        <v>24387.047999999999</v>
      </c>
      <c r="N181" s="5" t="str">
        <f t="shared" si="16"/>
        <v>I - 702 x 254 x 16 x 28</v>
      </c>
      <c r="O181" s="25">
        <f t="shared" si="17"/>
        <v>192.79599999999999</v>
      </c>
      <c r="P181" s="6">
        <f t="shared" si="18"/>
        <v>702</v>
      </c>
      <c r="Q181" s="6">
        <f t="shared" si="18"/>
        <v>254</v>
      </c>
      <c r="R181" s="6" cm="1">
        <f t="array" ref="R181">IF(I181-LOOKUP(I181, $Y$4:$Y$26) &lt;= 0.1, LOOKUP(I181, $Y$4:$Y$26), MIN(_xlfn._xlws.FILTER($Y$4:$Y$26, $Y$4:$Y$26&gt;=I181)))</f>
        <v>16</v>
      </c>
      <c r="S181" s="6" cm="1">
        <f t="array" ref="S181">IF(J181-LOOKUP(J181, $Y$4:$Y$26) &lt;= 0.1, LOOKUP(J181, $Y$4:$Y$26), MIN(_xlfn._xlws.FILTER($Y$4:$Y$26, $Y$4:$Y$26&gt;=J181)))</f>
        <v>28</v>
      </c>
    </row>
    <row r="182" spans="1:19" x14ac:dyDescent="0.25">
      <c r="A182" t="s">
        <v>505</v>
      </c>
      <c r="B182" s="11">
        <f t="shared" si="13"/>
        <v>170</v>
      </c>
      <c r="C182" s="11" t="str">
        <f t="shared" si="14"/>
        <v>I W27X170</v>
      </c>
      <c r="D182" s="5" t="s">
        <v>262</v>
      </c>
      <c r="E182" s="5" t="str">
        <f t="shared" si="15"/>
        <v>I - 694 x 257 x 14.48 x 23.63</v>
      </c>
      <c r="F182" s="25">
        <v>169.65024</v>
      </c>
      <c r="G182" s="6">
        <v>694</v>
      </c>
      <c r="H182" s="6">
        <v>257</v>
      </c>
      <c r="I182" s="6">
        <v>14.48</v>
      </c>
      <c r="J182" s="6">
        <v>23.630000000000003</v>
      </c>
      <c r="K182" s="6"/>
      <c r="L182" s="6">
        <v>21677.376</v>
      </c>
      <c r="N182" s="5" t="str">
        <f t="shared" si="16"/>
        <v>I - 694 x 257 x 16 x 25</v>
      </c>
      <c r="O182" s="25">
        <f t="shared" si="17"/>
        <v>181.75890000000001</v>
      </c>
      <c r="P182" s="6">
        <f t="shared" si="18"/>
        <v>694</v>
      </c>
      <c r="Q182" s="6">
        <f t="shared" si="18"/>
        <v>257</v>
      </c>
      <c r="R182" s="6" cm="1">
        <f t="array" ref="R182">IF(I182-LOOKUP(I182, $Y$4:$Y$26) &lt;= 0.1, LOOKUP(I182, $Y$4:$Y$26), MIN(_xlfn._xlws.FILTER($Y$4:$Y$26, $Y$4:$Y$26&gt;=I182)))</f>
        <v>16</v>
      </c>
      <c r="S182" s="6" cm="1">
        <f t="array" ref="S182">IF(J182-LOOKUP(J182, $Y$4:$Y$26) &lt;= 0.1, LOOKUP(J182, $Y$4:$Y$26), MIN(_xlfn._xlws.FILTER($Y$4:$Y$26, $Y$4:$Y$26&gt;=J182)))</f>
        <v>25</v>
      </c>
    </row>
    <row r="183" spans="1:19" x14ac:dyDescent="0.25">
      <c r="A183" t="s">
        <v>505</v>
      </c>
      <c r="B183" s="11">
        <f t="shared" si="13"/>
        <v>152</v>
      </c>
      <c r="C183" s="11" t="str">
        <f t="shared" si="14"/>
        <v>I W27X152</v>
      </c>
      <c r="D183" s="5" t="s">
        <v>263</v>
      </c>
      <c r="E183" s="5" t="str">
        <f t="shared" si="15"/>
        <v>I - 689 x 254 x 13.09 x 21.09</v>
      </c>
      <c r="F183" s="25">
        <v>151.79231999999999</v>
      </c>
      <c r="G183" s="6">
        <v>689</v>
      </c>
      <c r="H183" s="6">
        <v>254</v>
      </c>
      <c r="I183" s="6">
        <v>13.09</v>
      </c>
      <c r="J183" s="6">
        <v>21.09</v>
      </c>
      <c r="K183" s="6"/>
      <c r="L183" s="6">
        <v>19354.8</v>
      </c>
      <c r="N183" s="5" t="str">
        <f t="shared" si="16"/>
        <v>I - 689 x 254 x 14 x 22</v>
      </c>
      <c r="O183" s="25">
        <f t="shared" si="17"/>
        <v>158.61709999999999</v>
      </c>
      <c r="P183" s="6">
        <f t="shared" si="18"/>
        <v>689</v>
      </c>
      <c r="Q183" s="6">
        <f t="shared" si="18"/>
        <v>254</v>
      </c>
      <c r="R183" s="6" cm="1">
        <f t="array" ref="R183">IF(I183-LOOKUP(I183, $Y$4:$Y$26) &lt;= 0.1, LOOKUP(I183, $Y$4:$Y$26), MIN(_xlfn._xlws.FILTER($Y$4:$Y$26, $Y$4:$Y$26&gt;=I183)))</f>
        <v>14</v>
      </c>
      <c r="S183" s="6" cm="1">
        <f t="array" ref="S183">IF(J183-LOOKUP(J183, $Y$4:$Y$26) &lt;= 0.1, LOOKUP(J183, $Y$4:$Y$26), MIN(_xlfn._xlws.FILTER($Y$4:$Y$26, $Y$4:$Y$26&gt;=J183)))</f>
        <v>22</v>
      </c>
    </row>
    <row r="184" spans="1:19" x14ac:dyDescent="0.25">
      <c r="A184" t="s">
        <v>505</v>
      </c>
      <c r="B184" s="11">
        <f t="shared" si="13"/>
        <v>140</v>
      </c>
      <c r="C184" s="11" t="str">
        <f t="shared" si="14"/>
        <v>I W27X140</v>
      </c>
      <c r="D184" s="5" t="s">
        <v>264</v>
      </c>
      <c r="E184" s="5" t="str">
        <f t="shared" si="15"/>
        <v>I - 684 x 254 x 12.45 x 18.93</v>
      </c>
      <c r="F184" s="25">
        <v>139.88703999999998</v>
      </c>
      <c r="G184" s="6">
        <v>684</v>
      </c>
      <c r="H184" s="6">
        <v>254</v>
      </c>
      <c r="I184" s="6">
        <v>12.45</v>
      </c>
      <c r="J184" s="6">
        <v>18.930000000000003</v>
      </c>
      <c r="K184" s="6"/>
      <c r="L184" s="6">
        <v>17806.416000000001</v>
      </c>
      <c r="N184" s="5" t="str">
        <f t="shared" si="16"/>
        <v>I - 684 x 254 x 14 x 20</v>
      </c>
      <c r="O184" s="25">
        <f t="shared" si="17"/>
        <v>150.5316</v>
      </c>
      <c r="P184" s="6">
        <f t="shared" si="18"/>
        <v>684</v>
      </c>
      <c r="Q184" s="6">
        <f t="shared" si="18"/>
        <v>254</v>
      </c>
      <c r="R184" s="6" cm="1">
        <f t="array" ref="R184">IF(I184-LOOKUP(I184, $Y$4:$Y$26) &lt;= 0.1, LOOKUP(I184, $Y$4:$Y$26), MIN(_xlfn._xlws.FILTER($Y$4:$Y$26, $Y$4:$Y$26&gt;=I184)))</f>
        <v>14</v>
      </c>
      <c r="S184" s="6" cm="1">
        <f t="array" ref="S184">IF(J184-LOOKUP(J184, $Y$4:$Y$26) &lt;= 0.1, LOOKUP(J184, $Y$4:$Y$26), MIN(_xlfn._xlws.FILTER($Y$4:$Y$26, $Y$4:$Y$26&gt;=J184)))</f>
        <v>20</v>
      </c>
    </row>
    <row r="185" spans="1:19" x14ac:dyDescent="0.25">
      <c r="A185" t="s">
        <v>505</v>
      </c>
      <c r="B185" s="11">
        <f t="shared" si="13"/>
        <v>125</v>
      </c>
      <c r="C185" s="11" t="str">
        <f t="shared" si="14"/>
        <v>I W27X125</v>
      </c>
      <c r="D185" s="5" t="s">
        <v>265</v>
      </c>
      <c r="E185" s="5" t="str">
        <f t="shared" si="15"/>
        <v>I - 679 x 254 x 11.69 x 16.26</v>
      </c>
      <c r="F185" s="25">
        <v>125.00543999999999</v>
      </c>
      <c r="G185" s="6">
        <v>679</v>
      </c>
      <c r="H185" s="6">
        <v>254</v>
      </c>
      <c r="I185" s="6">
        <v>11.69</v>
      </c>
      <c r="J185" s="6">
        <v>16.260000000000002</v>
      </c>
      <c r="K185" s="6"/>
      <c r="L185" s="6">
        <v>15935.451999999999</v>
      </c>
      <c r="N185" s="5" t="str">
        <f t="shared" si="16"/>
        <v>I - 679 x 254 x 12 x 18</v>
      </c>
      <c r="O185" s="25">
        <f t="shared" si="17"/>
        <v>132.351</v>
      </c>
      <c r="P185" s="6">
        <f t="shared" si="18"/>
        <v>679</v>
      </c>
      <c r="Q185" s="6">
        <f t="shared" si="18"/>
        <v>254</v>
      </c>
      <c r="R185" s="6" cm="1">
        <f t="array" ref="R185">IF(I185-LOOKUP(I185, $Y$4:$Y$26) &lt;= 0.1, LOOKUP(I185, $Y$4:$Y$26), MIN(_xlfn._xlws.FILTER($Y$4:$Y$26, $Y$4:$Y$26&gt;=I185)))</f>
        <v>12</v>
      </c>
      <c r="S185" s="6" cm="1">
        <f t="array" ref="S185">IF(J185-LOOKUP(J185, $Y$4:$Y$26) &lt;= 0.1, LOOKUP(J185, $Y$4:$Y$26), MIN(_xlfn._xlws.FILTER($Y$4:$Y$26, $Y$4:$Y$26&gt;=J185)))</f>
        <v>18</v>
      </c>
    </row>
    <row r="186" spans="1:19" x14ac:dyDescent="0.25">
      <c r="A186" t="s">
        <v>506</v>
      </c>
      <c r="B186" s="11">
        <f t="shared" si="13"/>
        <v>551</v>
      </c>
      <c r="C186" s="11" t="str">
        <f t="shared" si="14"/>
        <v>I W24X551</v>
      </c>
      <c r="D186" s="5" t="s">
        <v>266</v>
      </c>
      <c r="E186" s="5" t="str">
        <f t="shared" si="15"/>
        <v>I - 712 x 348 x 38.61 x 69.09</v>
      </c>
      <c r="F186" s="25">
        <v>550.61919999999998</v>
      </c>
      <c r="G186" s="6">
        <v>712</v>
      </c>
      <c r="H186" s="6">
        <v>348</v>
      </c>
      <c r="I186" s="6">
        <v>38.61</v>
      </c>
      <c r="J186" s="6">
        <v>69.09</v>
      </c>
      <c r="K186" s="6"/>
      <c r="L186" s="6">
        <v>70322.44</v>
      </c>
      <c r="N186" s="5" t="str">
        <f t="shared" si="16"/>
        <v>I - 712 x 348 x 40 x 70</v>
      </c>
      <c r="O186" s="25">
        <f t="shared" si="17"/>
        <v>562.05999999999995</v>
      </c>
      <c r="P186" s="6">
        <f t="shared" si="18"/>
        <v>712</v>
      </c>
      <c r="Q186" s="6">
        <f t="shared" si="18"/>
        <v>348</v>
      </c>
      <c r="R186" s="6" cm="1">
        <f t="array" ref="R186">IF(I186-LOOKUP(I186, $Y$4:$Y$26) &lt;= 0.1, LOOKUP(I186, $Y$4:$Y$26), MIN(_xlfn._xlws.FILTER($Y$4:$Y$26, $Y$4:$Y$26&gt;=I186)))</f>
        <v>40</v>
      </c>
      <c r="S186" s="6" cm="1">
        <f t="array" ref="S186">IF(J186-LOOKUP(J186, $Y$4:$Y$26) &lt;= 0.1, LOOKUP(J186, $Y$4:$Y$26), MIN(_xlfn._xlws.FILTER($Y$4:$Y$26, $Y$4:$Y$26&gt;=J186)))</f>
        <v>70</v>
      </c>
    </row>
    <row r="187" spans="1:19" x14ac:dyDescent="0.25">
      <c r="A187" t="s">
        <v>506</v>
      </c>
      <c r="B187" s="11">
        <f t="shared" si="13"/>
        <v>499</v>
      </c>
      <c r="C187" s="11" t="str">
        <f t="shared" si="14"/>
        <v>I W24X499</v>
      </c>
      <c r="D187" s="5" t="s">
        <v>267</v>
      </c>
      <c r="E187" s="5" t="str">
        <f t="shared" si="15"/>
        <v>I - 699 x 343 x 35.06 x 63</v>
      </c>
      <c r="F187" s="25">
        <v>498.53359999999998</v>
      </c>
      <c r="G187" s="6">
        <v>699</v>
      </c>
      <c r="H187" s="6">
        <v>343</v>
      </c>
      <c r="I187" s="6">
        <v>35.059999999999995</v>
      </c>
      <c r="J187" s="6">
        <v>63</v>
      </c>
      <c r="K187" s="6"/>
      <c r="L187" s="6">
        <v>63419.227999999996</v>
      </c>
      <c r="N187" s="5" t="str">
        <f t="shared" si="16"/>
        <v>I - 699 x 343 x 35 x 70</v>
      </c>
      <c r="O187" s="25">
        <f t="shared" si="17"/>
        <v>530.54224999999997</v>
      </c>
      <c r="P187" s="6">
        <f t="shared" si="18"/>
        <v>699</v>
      </c>
      <c r="Q187" s="6">
        <f t="shared" si="18"/>
        <v>343</v>
      </c>
      <c r="R187" s="6" cm="1">
        <f t="array" ref="R187">IF(I187-LOOKUP(I187, $Y$4:$Y$26) &lt;= 0.1, LOOKUP(I187, $Y$4:$Y$26), MIN(_xlfn._xlws.FILTER($Y$4:$Y$26, $Y$4:$Y$26&gt;=I187)))</f>
        <v>35</v>
      </c>
      <c r="S187" s="6" cm="1">
        <f t="array" ref="S187">IF(J187-LOOKUP(J187, $Y$4:$Y$26) &lt;= 0.1, LOOKUP(J187, $Y$4:$Y$26), MIN(_xlfn._xlws.FILTER($Y$4:$Y$26, $Y$4:$Y$26&gt;=J187)))</f>
        <v>70</v>
      </c>
    </row>
    <row r="188" spans="1:19" x14ac:dyDescent="0.25">
      <c r="A188" t="s">
        <v>506</v>
      </c>
      <c r="B188" s="11">
        <f t="shared" si="13"/>
        <v>455</v>
      </c>
      <c r="C188" s="11" t="str">
        <f t="shared" si="14"/>
        <v>I W24X455</v>
      </c>
      <c r="D188" s="5" t="s">
        <v>268</v>
      </c>
      <c r="E188" s="5" t="str">
        <f t="shared" si="15"/>
        <v>I - 689 x 341 x 32.01 x 57.92</v>
      </c>
      <c r="F188" s="25">
        <v>455.37696</v>
      </c>
      <c r="G188" s="6">
        <v>689</v>
      </c>
      <c r="H188" s="6">
        <v>341</v>
      </c>
      <c r="I188" s="6">
        <v>32.01</v>
      </c>
      <c r="J188" s="6">
        <v>57.919999999999995</v>
      </c>
      <c r="K188" s="6"/>
      <c r="L188" s="6">
        <v>57870.851999999999</v>
      </c>
      <c r="N188" s="5" t="str">
        <f t="shared" si="16"/>
        <v>I - 689 x 341 x 32 x 60</v>
      </c>
      <c r="O188" s="25">
        <f t="shared" si="17"/>
        <v>464.15480000000002</v>
      </c>
      <c r="P188" s="6">
        <f t="shared" si="18"/>
        <v>689</v>
      </c>
      <c r="Q188" s="6">
        <f t="shared" si="18"/>
        <v>341</v>
      </c>
      <c r="R188" s="6" cm="1">
        <f t="array" ref="R188">IF(I188-LOOKUP(I188, $Y$4:$Y$26) &lt;= 0.1, LOOKUP(I188, $Y$4:$Y$26), MIN(_xlfn._xlws.FILTER($Y$4:$Y$26, $Y$4:$Y$26&gt;=I188)))</f>
        <v>32</v>
      </c>
      <c r="S188" s="6" cm="1">
        <f t="array" ref="S188">IF(J188-LOOKUP(J188, $Y$4:$Y$26) &lt;= 0.1, LOOKUP(J188, $Y$4:$Y$26), MIN(_xlfn._xlws.FILTER($Y$4:$Y$26, $Y$4:$Y$26&gt;=J188)))</f>
        <v>60</v>
      </c>
    </row>
    <row r="189" spans="1:19" x14ac:dyDescent="0.25">
      <c r="A189" t="s">
        <v>506</v>
      </c>
      <c r="B189" s="11">
        <f t="shared" si="13"/>
        <v>415</v>
      </c>
      <c r="C189" s="11" t="str">
        <f t="shared" si="14"/>
        <v>I W24X415</v>
      </c>
      <c r="D189" s="5" t="s">
        <v>269</v>
      </c>
      <c r="E189" s="5" t="str">
        <f t="shared" si="15"/>
        <v>I - 679 x 338 x 29.47 x 53.09</v>
      </c>
      <c r="F189" s="25">
        <v>415.19664</v>
      </c>
      <c r="G189" s="6">
        <v>679</v>
      </c>
      <c r="H189" s="6">
        <v>338</v>
      </c>
      <c r="I189" s="6">
        <v>29.470000000000002</v>
      </c>
      <c r="J189" s="6">
        <v>53.089999999999996</v>
      </c>
      <c r="K189" s="6"/>
      <c r="L189" s="6">
        <v>52838.604000000007</v>
      </c>
      <c r="N189" s="5" t="str">
        <f t="shared" si="16"/>
        <v>I - 679 x 338 x 30 x 60</v>
      </c>
      <c r="O189" s="25">
        <f t="shared" si="17"/>
        <v>450.04050000000001</v>
      </c>
      <c r="P189" s="6">
        <f t="shared" si="18"/>
        <v>679</v>
      </c>
      <c r="Q189" s="6">
        <f t="shared" si="18"/>
        <v>338</v>
      </c>
      <c r="R189" s="6" cm="1">
        <f t="array" ref="R189">IF(I189-LOOKUP(I189, $Y$4:$Y$26) &lt;= 0.1, LOOKUP(I189, $Y$4:$Y$26), MIN(_xlfn._xlws.FILTER($Y$4:$Y$26, $Y$4:$Y$26&gt;=I189)))</f>
        <v>30</v>
      </c>
      <c r="S189" s="6" cm="1">
        <f t="array" ref="S189">IF(J189-LOOKUP(J189, $Y$4:$Y$26) &lt;= 0.1, LOOKUP(J189, $Y$4:$Y$26), MIN(_xlfn._xlws.FILTER($Y$4:$Y$26, $Y$4:$Y$26&gt;=J189)))</f>
        <v>60</v>
      </c>
    </row>
    <row r="190" spans="1:19" x14ac:dyDescent="0.25">
      <c r="A190" t="s">
        <v>506</v>
      </c>
      <c r="B190" s="11">
        <f t="shared" si="13"/>
        <v>372</v>
      </c>
      <c r="C190" s="11" t="str">
        <f t="shared" si="14"/>
        <v>I W24X372</v>
      </c>
      <c r="D190" s="5" t="s">
        <v>270</v>
      </c>
      <c r="E190" s="5" t="str">
        <f t="shared" si="15"/>
        <v>H - 669 x 336 x 26.42 x 48.01</v>
      </c>
      <c r="F190" s="25">
        <v>372.03999999999996</v>
      </c>
      <c r="G190" s="6">
        <v>669</v>
      </c>
      <c r="H190" s="6">
        <v>336</v>
      </c>
      <c r="I190" s="6">
        <v>26.42</v>
      </c>
      <c r="J190" s="6">
        <v>48.01</v>
      </c>
      <c r="K190" s="6"/>
      <c r="L190" s="6">
        <v>47419.259999999995</v>
      </c>
      <c r="N190" s="5" t="str">
        <f t="shared" si="16"/>
        <v>H - 669 x 336 x 28 x 50</v>
      </c>
      <c r="O190" s="25">
        <f t="shared" si="17"/>
        <v>388.82619999999997</v>
      </c>
      <c r="P190" s="6">
        <f t="shared" si="18"/>
        <v>669</v>
      </c>
      <c r="Q190" s="6">
        <f t="shared" si="18"/>
        <v>336</v>
      </c>
      <c r="R190" s="6" cm="1">
        <f t="array" ref="R190">IF(I190-LOOKUP(I190, $Y$4:$Y$26) &lt;= 0.1, LOOKUP(I190, $Y$4:$Y$26), MIN(_xlfn._xlws.FILTER($Y$4:$Y$26, $Y$4:$Y$26&gt;=I190)))</f>
        <v>28</v>
      </c>
      <c r="S190" s="6" cm="1">
        <f t="array" ref="S190">IF(J190-LOOKUP(J190, $Y$4:$Y$26) &lt;= 0.1, LOOKUP(J190, $Y$4:$Y$26), MIN(_xlfn._xlws.FILTER($Y$4:$Y$26, $Y$4:$Y$26&gt;=J190)))</f>
        <v>50</v>
      </c>
    </row>
    <row r="191" spans="1:19" x14ac:dyDescent="0.25">
      <c r="A191" t="s">
        <v>506</v>
      </c>
      <c r="B191" s="11">
        <f t="shared" si="13"/>
        <v>341</v>
      </c>
      <c r="C191" s="11" t="str">
        <f t="shared" si="14"/>
        <v>I W24X341</v>
      </c>
      <c r="D191" s="5" t="s">
        <v>271</v>
      </c>
      <c r="E191" s="5" t="str">
        <f t="shared" si="15"/>
        <v>H - 661 x 333 x 24.39 x 43.95</v>
      </c>
      <c r="F191" s="25">
        <v>340.78863999999999</v>
      </c>
      <c r="G191" s="6">
        <v>661</v>
      </c>
      <c r="H191" s="6">
        <v>333</v>
      </c>
      <c r="I191" s="6">
        <v>24.39</v>
      </c>
      <c r="J191" s="6">
        <v>43.949999999999996</v>
      </c>
      <c r="K191" s="6"/>
      <c r="L191" s="6">
        <v>43354.752</v>
      </c>
      <c r="N191" s="5" t="str">
        <f t="shared" si="16"/>
        <v>H - 661 x 333 x 25 x 45</v>
      </c>
      <c r="O191" s="25">
        <f t="shared" si="17"/>
        <v>347.32324999999997</v>
      </c>
      <c r="P191" s="6">
        <f t="shared" si="18"/>
        <v>661</v>
      </c>
      <c r="Q191" s="6">
        <f t="shared" si="18"/>
        <v>333</v>
      </c>
      <c r="R191" s="6" cm="1">
        <f t="array" ref="R191">IF(I191-LOOKUP(I191, $Y$4:$Y$26) &lt;= 0.1, LOOKUP(I191, $Y$4:$Y$26), MIN(_xlfn._xlws.FILTER($Y$4:$Y$26, $Y$4:$Y$26&gt;=I191)))</f>
        <v>25</v>
      </c>
      <c r="S191" s="6" cm="1">
        <f t="array" ref="S191">IF(J191-LOOKUP(J191, $Y$4:$Y$26) &lt;= 0.1, LOOKUP(J191, $Y$4:$Y$26), MIN(_xlfn._xlws.FILTER($Y$4:$Y$26, $Y$4:$Y$26&gt;=J191)))</f>
        <v>45</v>
      </c>
    </row>
    <row r="192" spans="1:19" x14ac:dyDescent="0.25">
      <c r="A192" t="s">
        <v>506</v>
      </c>
      <c r="B192" s="11">
        <f t="shared" si="13"/>
        <v>308</v>
      </c>
      <c r="C192" s="11" t="str">
        <f t="shared" si="14"/>
        <v>I W24X308</v>
      </c>
      <c r="D192" s="5" t="s">
        <v>272</v>
      </c>
      <c r="E192" s="5" t="str">
        <f t="shared" si="15"/>
        <v>H - 653 x 331 x 22.1 x 39.88</v>
      </c>
      <c r="F192" s="25">
        <v>308.04911999999996</v>
      </c>
      <c r="G192" s="6">
        <v>653</v>
      </c>
      <c r="H192" s="6">
        <v>331</v>
      </c>
      <c r="I192" s="6">
        <v>22.1</v>
      </c>
      <c r="J192" s="6">
        <v>39.879999999999995</v>
      </c>
      <c r="K192" s="6"/>
      <c r="L192" s="6">
        <v>39161.212</v>
      </c>
      <c r="N192" s="5" t="str">
        <f t="shared" si="16"/>
        <v>H - 653 x 331 x 25 x 40</v>
      </c>
      <c r="O192" s="25">
        <f t="shared" si="17"/>
        <v>320.31925000000001</v>
      </c>
      <c r="P192" s="6">
        <f t="shared" si="18"/>
        <v>653</v>
      </c>
      <c r="Q192" s="6">
        <f t="shared" si="18"/>
        <v>331</v>
      </c>
      <c r="R192" s="6" cm="1">
        <f t="array" ref="R192">IF(I192-LOOKUP(I192, $Y$4:$Y$26) &lt;= 0.1, LOOKUP(I192, $Y$4:$Y$26), MIN(_xlfn._xlws.FILTER($Y$4:$Y$26, $Y$4:$Y$26&gt;=I192)))</f>
        <v>25</v>
      </c>
      <c r="S192" s="6" cm="1">
        <f t="array" ref="S192">IF(J192-LOOKUP(J192, $Y$4:$Y$26) &lt;= 0.1, LOOKUP(J192, $Y$4:$Y$26), MIN(_xlfn._xlws.FILTER($Y$4:$Y$26, $Y$4:$Y$26&gt;=J192)))</f>
        <v>40</v>
      </c>
    </row>
    <row r="193" spans="1:19" x14ac:dyDescent="0.25">
      <c r="A193" t="s">
        <v>506</v>
      </c>
      <c r="B193" s="11">
        <f t="shared" si="13"/>
        <v>286</v>
      </c>
      <c r="C193" s="11" t="str">
        <f t="shared" si="14"/>
        <v>I W24X286</v>
      </c>
      <c r="D193" s="5" t="s">
        <v>273</v>
      </c>
      <c r="E193" s="5" t="str">
        <f t="shared" si="15"/>
        <v>H - 648 x 331 x 20.58 x 37.09</v>
      </c>
      <c r="F193" s="25">
        <v>285.72672</v>
      </c>
      <c r="G193" s="6">
        <v>648</v>
      </c>
      <c r="H193" s="6">
        <v>331</v>
      </c>
      <c r="I193" s="6">
        <v>20.580000000000002</v>
      </c>
      <c r="J193" s="6">
        <v>37.089999999999996</v>
      </c>
      <c r="K193" s="6"/>
      <c r="L193" s="6">
        <v>36451.54</v>
      </c>
      <c r="N193" s="5" t="str">
        <f t="shared" si="16"/>
        <v>H - 648 x 331 x 22 x 40</v>
      </c>
      <c r="O193" s="25">
        <f t="shared" si="17"/>
        <v>305.96159999999998</v>
      </c>
      <c r="P193" s="6">
        <f t="shared" si="18"/>
        <v>648</v>
      </c>
      <c r="Q193" s="6">
        <f t="shared" si="18"/>
        <v>331</v>
      </c>
      <c r="R193" s="6" cm="1">
        <f t="array" ref="R193">IF(I193-LOOKUP(I193, $Y$4:$Y$26) &lt;= 0.1, LOOKUP(I193, $Y$4:$Y$26), MIN(_xlfn._xlws.FILTER($Y$4:$Y$26, $Y$4:$Y$26&gt;=I193)))</f>
        <v>22</v>
      </c>
      <c r="S193" s="6" cm="1">
        <f t="array" ref="S193">IF(J193-LOOKUP(J193, $Y$4:$Y$26) &lt;= 0.1, LOOKUP(J193, $Y$4:$Y$26), MIN(_xlfn._xlws.FILTER($Y$4:$Y$26, $Y$4:$Y$26&gt;=J193)))</f>
        <v>40</v>
      </c>
    </row>
    <row r="194" spans="1:19" x14ac:dyDescent="0.25">
      <c r="A194" t="s">
        <v>506</v>
      </c>
      <c r="B194" s="11">
        <f t="shared" si="13"/>
        <v>262</v>
      </c>
      <c r="C194" s="11" t="str">
        <f t="shared" si="14"/>
        <v>I W24X262</v>
      </c>
      <c r="D194" s="5" t="s">
        <v>274</v>
      </c>
      <c r="E194" s="5" t="str">
        <f t="shared" si="15"/>
        <v>H - 641 x 328 x 19.05 x 34.04</v>
      </c>
      <c r="F194" s="25">
        <v>261.91615999999999</v>
      </c>
      <c r="G194" s="6">
        <v>641</v>
      </c>
      <c r="H194" s="6">
        <v>328</v>
      </c>
      <c r="I194" s="6">
        <v>19.05</v>
      </c>
      <c r="J194" s="6">
        <v>34.04</v>
      </c>
      <c r="K194" s="6"/>
      <c r="L194" s="6">
        <v>33354.771999999997</v>
      </c>
      <c r="N194" s="5" t="str">
        <f t="shared" si="16"/>
        <v>H - 641 x 328 x 20 x 35</v>
      </c>
      <c r="O194" s="25">
        <f t="shared" si="17"/>
        <v>269.88299999999998</v>
      </c>
      <c r="P194" s="6">
        <f t="shared" si="18"/>
        <v>641</v>
      </c>
      <c r="Q194" s="6">
        <f t="shared" si="18"/>
        <v>328</v>
      </c>
      <c r="R194" s="6" cm="1">
        <f t="array" ref="R194">IF(I194-LOOKUP(I194, $Y$4:$Y$26) &lt;= 0.1, LOOKUP(I194, $Y$4:$Y$26), MIN(_xlfn._xlws.FILTER($Y$4:$Y$26, $Y$4:$Y$26&gt;=I194)))</f>
        <v>20</v>
      </c>
      <c r="S194" s="6" cm="1">
        <f t="array" ref="S194">IF(J194-LOOKUP(J194, $Y$4:$Y$26) &lt;= 0.1, LOOKUP(J194, $Y$4:$Y$26), MIN(_xlfn._xlws.FILTER($Y$4:$Y$26, $Y$4:$Y$26&gt;=J194)))</f>
        <v>35</v>
      </c>
    </row>
    <row r="195" spans="1:19" x14ac:dyDescent="0.25">
      <c r="A195" t="s">
        <v>506</v>
      </c>
      <c r="B195" s="11">
        <f t="shared" si="13"/>
        <v>241</v>
      </c>
      <c r="C195" s="11" t="str">
        <f t="shared" si="14"/>
        <v>I W24X241</v>
      </c>
      <c r="D195" s="5" t="s">
        <v>275</v>
      </c>
      <c r="E195" s="5" t="str">
        <f t="shared" si="15"/>
        <v>H - 635 x 331 x 17.91 x 30.99</v>
      </c>
      <c r="F195" s="25">
        <v>241.08192</v>
      </c>
      <c r="G195" s="6">
        <v>635</v>
      </c>
      <c r="H195" s="6">
        <v>331</v>
      </c>
      <c r="I195" s="6">
        <v>17.91</v>
      </c>
      <c r="J195" s="6">
        <v>30.990000000000002</v>
      </c>
      <c r="K195" s="6"/>
      <c r="L195" s="6">
        <v>30838.647999999997</v>
      </c>
      <c r="N195" s="5" t="str">
        <f t="shared" si="16"/>
        <v>H - 635 x 331 x 18 x 32</v>
      </c>
      <c r="O195" s="25">
        <f t="shared" si="17"/>
        <v>246.97669999999999</v>
      </c>
      <c r="P195" s="6">
        <f t="shared" si="18"/>
        <v>635</v>
      </c>
      <c r="Q195" s="6">
        <f t="shared" si="18"/>
        <v>331</v>
      </c>
      <c r="R195" s="6" cm="1">
        <f t="array" ref="R195">IF(I195-LOOKUP(I195, $Y$4:$Y$26) &lt;= 0.1, LOOKUP(I195, $Y$4:$Y$26), MIN(_xlfn._xlws.FILTER($Y$4:$Y$26, $Y$4:$Y$26&gt;=I195)))</f>
        <v>18</v>
      </c>
      <c r="S195" s="6" cm="1">
        <f t="array" ref="S195">IF(J195-LOOKUP(J195, $Y$4:$Y$26) &lt;= 0.1, LOOKUP(J195, $Y$4:$Y$26), MIN(_xlfn._xlws.FILTER($Y$4:$Y$26, $Y$4:$Y$26&gt;=J195)))</f>
        <v>32</v>
      </c>
    </row>
    <row r="196" spans="1:19" x14ac:dyDescent="0.25">
      <c r="A196" t="s">
        <v>506</v>
      </c>
      <c r="B196" s="11">
        <f t="shared" si="13"/>
        <v>217</v>
      </c>
      <c r="C196" s="11" t="str">
        <f t="shared" si="14"/>
        <v>I W24X217</v>
      </c>
      <c r="D196" s="5" t="s">
        <v>276</v>
      </c>
      <c r="E196" s="5" t="str">
        <f t="shared" si="15"/>
        <v>H - 628 x 328 x 16.51 x 27.69</v>
      </c>
      <c r="F196" s="25">
        <v>217.27135999999999</v>
      </c>
      <c r="G196" s="6">
        <v>628</v>
      </c>
      <c r="H196" s="6">
        <v>328</v>
      </c>
      <c r="I196" s="6">
        <v>16.510000000000002</v>
      </c>
      <c r="J196" s="6">
        <v>27.69</v>
      </c>
      <c r="K196" s="6"/>
      <c r="L196" s="6">
        <v>27741.88</v>
      </c>
      <c r="N196" s="5" t="str">
        <f t="shared" si="16"/>
        <v>H - 628 x 328 x 18 x 28</v>
      </c>
      <c r="O196" s="25">
        <f t="shared" si="17"/>
        <v>225.01240000000001</v>
      </c>
      <c r="P196" s="6">
        <f t="shared" si="18"/>
        <v>628</v>
      </c>
      <c r="Q196" s="6">
        <f t="shared" si="18"/>
        <v>328</v>
      </c>
      <c r="R196" s="6" cm="1">
        <f t="array" ref="R196">IF(I196-LOOKUP(I196, $Y$4:$Y$26) &lt;= 0.1, LOOKUP(I196, $Y$4:$Y$26), MIN(_xlfn._xlws.FILTER($Y$4:$Y$26, $Y$4:$Y$26&gt;=I196)))</f>
        <v>18</v>
      </c>
      <c r="S196" s="6" cm="1">
        <f t="array" ref="S196">IF(J196-LOOKUP(J196, $Y$4:$Y$26) &lt;= 0.1, LOOKUP(J196, $Y$4:$Y$26), MIN(_xlfn._xlws.FILTER($Y$4:$Y$26, $Y$4:$Y$26&gt;=J196)))</f>
        <v>28</v>
      </c>
    </row>
    <row r="197" spans="1:19" x14ac:dyDescent="0.25">
      <c r="A197" t="s">
        <v>506</v>
      </c>
      <c r="B197" s="11">
        <f t="shared" si="13"/>
        <v>195</v>
      </c>
      <c r="C197" s="11" t="str">
        <f t="shared" si="14"/>
        <v>I W24X195</v>
      </c>
      <c r="D197" s="5" t="s">
        <v>277</v>
      </c>
      <c r="E197" s="5" t="str">
        <f t="shared" si="15"/>
        <v>H - 623 x 328 x 15.37 x 24.39</v>
      </c>
      <c r="F197" s="25">
        <v>194.94896</v>
      </c>
      <c r="G197" s="6">
        <v>623</v>
      </c>
      <c r="H197" s="6">
        <v>328</v>
      </c>
      <c r="I197" s="6">
        <v>15.37</v>
      </c>
      <c r="J197" s="6">
        <v>24.39</v>
      </c>
      <c r="K197" s="6"/>
      <c r="L197" s="6">
        <v>24903.175999999999</v>
      </c>
      <c r="N197" s="5" t="str">
        <f t="shared" si="16"/>
        <v>H - 623 x 328 x 16 x 25</v>
      </c>
      <c r="O197" s="25">
        <f t="shared" si="17"/>
        <v>200.7088</v>
      </c>
      <c r="P197" s="6">
        <f t="shared" si="18"/>
        <v>623</v>
      </c>
      <c r="Q197" s="6">
        <f t="shared" si="18"/>
        <v>328</v>
      </c>
      <c r="R197" s="6" cm="1">
        <f t="array" ref="R197">IF(I197-LOOKUP(I197, $Y$4:$Y$26) &lt;= 0.1, LOOKUP(I197, $Y$4:$Y$26), MIN(_xlfn._xlws.FILTER($Y$4:$Y$26, $Y$4:$Y$26&gt;=I197)))</f>
        <v>16</v>
      </c>
      <c r="S197" s="6" cm="1">
        <f t="array" ref="S197">IF(J197-LOOKUP(J197, $Y$4:$Y$26) &lt;= 0.1, LOOKUP(J197, $Y$4:$Y$26), MIN(_xlfn._xlws.FILTER($Y$4:$Y$26, $Y$4:$Y$26&gt;=J197)))</f>
        <v>25</v>
      </c>
    </row>
    <row r="198" spans="1:19" x14ac:dyDescent="0.25">
      <c r="A198" t="s">
        <v>506</v>
      </c>
      <c r="B198" s="11">
        <f t="shared" ref="B198:B261" si="19">ROUND(F198,0)</f>
        <v>174</v>
      </c>
      <c r="C198" s="11" t="str">
        <f t="shared" ref="C198:C261" si="20">"I "&amp;A198&amp;"X"&amp;B198</f>
        <v>I W24X174</v>
      </c>
      <c r="D198" s="5" t="s">
        <v>278</v>
      </c>
      <c r="E198" s="5" t="str">
        <f t="shared" ref="E198:E261" si="21">IF((G198/H198)&lt;2,"H - ","I - ")&amp;G198&amp;" x "&amp;H198&amp;" x "&amp;I198&amp;" x "&amp;J198</f>
        <v>H - 618 x 326 x 13.97 x 21.59</v>
      </c>
      <c r="F198" s="25">
        <v>174.11472000000001</v>
      </c>
      <c r="G198" s="6">
        <v>618</v>
      </c>
      <c r="H198" s="6">
        <v>326</v>
      </c>
      <c r="I198" s="6">
        <v>13.97</v>
      </c>
      <c r="J198" s="6">
        <v>21.59</v>
      </c>
      <c r="K198" s="6"/>
      <c r="L198" s="6">
        <v>22193.504000000001</v>
      </c>
      <c r="N198" s="5" t="str">
        <f t="shared" ref="N198:N261" si="22">IF((P198/Q198)&lt;2,"H - ","I - ")&amp;P198&amp;" x "&amp;Q198&amp;" x "&amp;R198&amp;" x "&amp;S198</f>
        <v>H - 618 x 326 x 14 x 22</v>
      </c>
      <c r="O198" s="25">
        <f t="shared" ref="O198:O261" si="23">((P198-2*S198)*R198+2*Q198*S198)*7850/10^6</f>
        <v>175.68299999999999</v>
      </c>
      <c r="P198" s="6">
        <f t="shared" ref="P198:Q261" si="24">ROUND(G198,0)</f>
        <v>618</v>
      </c>
      <c r="Q198" s="6">
        <f t="shared" si="24"/>
        <v>326</v>
      </c>
      <c r="R198" s="6" cm="1">
        <f t="array" ref="R198">IF(I198-LOOKUP(I198, $Y$4:$Y$26) &lt;= 0.1, LOOKUP(I198, $Y$4:$Y$26), MIN(_xlfn._xlws.FILTER($Y$4:$Y$26, $Y$4:$Y$26&gt;=I198)))</f>
        <v>14</v>
      </c>
      <c r="S198" s="6" cm="1">
        <f t="array" ref="S198">IF(J198-LOOKUP(J198, $Y$4:$Y$26) &lt;= 0.1, LOOKUP(J198, $Y$4:$Y$26), MIN(_xlfn._xlws.FILTER($Y$4:$Y$26, $Y$4:$Y$26&gt;=J198)))</f>
        <v>22</v>
      </c>
    </row>
    <row r="199" spans="1:19" x14ac:dyDescent="0.25">
      <c r="A199" t="s">
        <v>506</v>
      </c>
      <c r="B199" s="11">
        <f t="shared" si="19"/>
        <v>155</v>
      </c>
      <c r="C199" s="11" t="str">
        <f t="shared" si="20"/>
        <v>I W24X155</v>
      </c>
      <c r="D199" s="5" t="s">
        <v>279</v>
      </c>
      <c r="E199" s="5" t="str">
        <f t="shared" si="21"/>
        <v>H - 613 x 326 x 12.7 x 19.05</v>
      </c>
      <c r="F199" s="25">
        <v>154.76864</v>
      </c>
      <c r="G199" s="6">
        <v>613</v>
      </c>
      <c r="H199" s="6">
        <v>326</v>
      </c>
      <c r="I199" s="6">
        <v>12.7</v>
      </c>
      <c r="J199" s="6">
        <v>19.05</v>
      </c>
      <c r="K199" s="6"/>
      <c r="L199" s="6">
        <v>19806.412</v>
      </c>
      <c r="N199" s="5" t="str">
        <f t="shared" si="22"/>
        <v>H - 613 x 326 x 14 x 20</v>
      </c>
      <c r="O199" s="25">
        <f t="shared" si="23"/>
        <v>165.33670000000001</v>
      </c>
      <c r="P199" s="6">
        <f t="shared" si="24"/>
        <v>613</v>
      </c>
      <c r="Q199" s="6">
        <f t="shared" si="24"/>
        <v>326</v>
      </c>
      <c r="R199" s="6" cm="1">
        <f t="array" ref="R199">IF(I199-LOOKUP(I199, $Y$4:$Y$26) &lt;= 0.1, LOOKUP(I199, $Y$4:$Y$26), MIN(_xlfn._xlws.FILTER($Y$4:$Y$26, $Y$4:$Y$26&gt;=I199)))</f>
        <v>14</v>
      </c>
      <c r="S199" s="6" cm="1">
        <f t="array" ref="S199">IF(J199-LOOKUP(J199, $Y$4:$Y$26) &lt;= 0.1, LOOKUP(J199, $Y$4:$Y$26), MIN(_xlfn._xlws.FILTER($Y$4:$Y$26, $Y$4:$Y$26&gt;=J199)))</f>
        <v>20</v>
      </c>
    </row>
    <row r="200" spans="1:19" x14ac:dyDescent="0.25">
      <c r="A200" t="s">
        <v>506</v>
      </c>
      <c r="B200" s="11">
        <f t="shared" si="19"/>
        <v>153</v>
      </c>
      <c r="C200" s="11" t="str">
        <f t="shared" si="20"/>
        <v>I W24X153</v>
      </c>
      <c r="D200" s="5" t="s">
        <v>280</v>
      </c>
      <c r="E200" s="5" t="str">
        <f t="shared" si="21"/>
        <v>I - 623 x 229 x 13.97 x 24.9</v>
      </c>
      <c r="F200" s="25">
        <v>153.28047999999998</v>
      </c>
      <c r="G200" s="6">
        <v>623</v>
      </c>
      <c r="H200" s="6">
        <v>229</v>
      </c>
      <c r="I200" s="6">
        <v>13.97</v>
      </c>
      <c r="J200" s="6">
        <v>24.900000000000002</v>
      </c>
      <c r="K200" s="6"/>
      <c r="L200" s="6">
        <v>19548.348000000002</v>
      </c>
      <c r="N200" s="5" t="str">
        <f t="shared" si="22"/>
        <v>I - 623 x 229 x 14 x 25</v>
      </c>
      <c r="O200" s="25">
        <f t="shared" si="23"/>
        <v>152.8552</v>
      </c>
      <c r="P200" s="6">
        <f t="shared" si="24"/>
        <v>623</v>
      </c>
      <c r="Q200" s="6">
        <f t="shared" si="24"/>
        <v>229</v>
      </c>
      <c r="R200" s="6" cm="1">
        <f t="array" ref="R200">IF(I200-LOOKUP(I200, $Y$4:$Y$26) &lt;= 0.1, LOOKUP(I200, $Y$4:$Y$26), MIN(_xlfn._xlws.FILTER($Y$4:$Y$26, $Y$4:$Y$26&gt;=I200)))</f>
        <v>14</v>
      </c>
      <c r="S200" s="6" cm="1">
        <f t="array" ref="S200">IF(J200-LOOKUP(J200, $Y$4:$Y$26) &lt;= 0.1, LOOKUP(J200, $Y$4:$Y$26), MIN(_xlfn._xlws.FILTER($Y$4:$Y$26, $Y$4:$Y$26&gt;=J200)))</f>
        <v>25</v>
      </c>
    </row>
    <row r="201" spans="1:19" x14ac:dyDescent="0.25">
      <c r="A201" t="s">
        <v>506</v>
      </c>
      <c r="B201" s="11">
        <f t="shared" si="19"/>
        <v>140</v>
      </c>
      <c r="C201" s="11" t="str">
        <f t="shared" si="20"/>
        <v>I W24X140</v>
      </c>
      <c r="D201" s="5" t="s">
        <v>281</v>
      </c>
      <c r="E201" s="5" t="str">
        <f t="shared" si="21"/>
        <v>I - 618 x 231 x 13.09 x 22.23</v>
      </c>
      <c r="F201" s="25">
        <v>139.88703999999998</v>
      </c>
      <c r="G201" s="6">
        <v>618</v>
      </c>
      <c r="H201" s="6">
        <v>231</v>
      </c>
      <c r="I201" s="6">
        <v>13.09</v>
      </c>
      <c r="J201" s="6">
        <v>22.23</v>
      </c>
      <c r="K201" s="6"/>
      <c r="L201" s="6">
        <v>17870.932000000001</v>
      </c>
      <c r="N201" s="5" t="str">
        <f t="shared" si="22"/>
        <v>I - 618 x 231 x 14 x 25</v>
      </c>
      <c r="O201" s="25">
        <f t="shared" si="23"/>
        <v>153.0907</v>
      </c>
      <c r="P201" s="6">
        <f t="shared" si="24"/>
        <v>618</v>
      </c>
      <c r="Q201" s="6">
        <f t="shared" si="24"/>
        <v>231</v>
      </c>
      <c r="R201" s="6" cm="1">
        <f t="array" ref="R201">IF(I201-LOOKUP(I201, $Y$4:$Y$26) &lt;= 0.1, LOOKUP(I201, $Y$4:$Y$26), MIN(_xlfn._xlws.FILTER($Y$4:$Y$26, $Y$4:$Y$26&gt;=I201)))</f>
        <v>14</v>
      </c>
      <c r="S201" s="6" cm="1">
        <f t="array" ref="S201">IF(J201-LOOKUP(J201, $Y$4:$Y$26) &lt;= 0.1, LOOKUP(J201, $Y$4:$Y$26), MIN(_xlfn._xlws.FILTER($Y$4:$Y$26, $Y$4:$Y$26&gt;=J201)))</f>
        <v>25</v>
      </c>
    </row>
    <row r="202" spans="1:19" x14ac:dyDescent="0.25">
      <c r="A202" t="s">
        <v>506</v>
      </c>
      <c r="B202" s="11">
        <f t="shared" si="19"/>
        <v>125</v>
      </c>
      <c r="C202" s="11" t="str">
        <f t="shared" si="20"/>
        <v>I W24X125</v>
      </c>
      <c r="D202" s="5" t="s">
        <v>282</v>
      </c>
      <c r="E202" s="5" t="str">
        <f t="shared" si="21"/>
        <v>I - 613 x 230 x 11.94 x 19.56</v>
      </c>
      <c r="F202" s="25">
        <v>125.00543999999999</v>
      </c>
      <c r="G202" s="6">
        <v>613</v>
      </c>
      <c r="H202" s="6">
        <v>230</v>
      </c>
      <c r="I202" s="6">
        <v>11.94</v>
      </c>
      <c r="J202" s="6">
        <v>19.560000000000002</v>
      </c>
      <c r="K202" s="6"/>
      <c r="L202" s="6">
        <v>15935.451999999999</v>
      </c>
      <c r="N202" s="5" t="str">
        <f t="shared" si="22"/>
        <v>I - 613 x 230 x 12 x 20</v>
      </c>
      <c r="O202" s="25">
        <f t="shared" si="23"/>
        <v>126.1966</v>
      </c>
      <c r="P202" s="6">
        <f t="shared" si="24"/>
        <v>613</v>
      </c>
      <c r="Q202" s="6">
        <f t="shared" si="24"/>
        <v>230</v>
      </c>
      <c r="R202" s="6" cm="1">
        <f t="array" ref="R202">IF(I202-LOOKUP(I202, $Y$4:$Y$26) &lt;= 0.1, LOOKUP(I202, $Y$4:$Y$26), MIN(_xlfn._xlws.FILTER($Y$4:$Y$26, $Y$4:$Y$26&gt;=I202)))</f>
        <v>12</v>
      </c>
      <c r="S202" s="6" cm="1">
        <f t="array" ref="S202">IF(J202-LOOKUP(J202, $Y$4:$Y$26) &lt;= 0.1, LOOKUP(J202, $Y$4:$Y$26), MIN(_xlfn._xlws.FILTER($Y$4:$Y$26, $Y$4:$Y$26&gt;=J202)))</f>
        <v>20</v>
      </c>
    </row>
    <row r="203" spans="1:19" x14ac:dyDescent="0.25">
      <c r="A203" t="s">
        <v>506</v>
      </c>
      <c r="B203" s="11">
        <f t="shared" si="19"/>
        <v>113</v>
      </c>
      <c r="C203" s="11" t="str">
        <f t="shared" si="20"/>
        <v>I W24X113</v>
      </c>
      <c r="D203" s="5" t="s">
        <v>283</v>
      </c>
      <c r="E203" s="5" t="str">
        <f t="shared" si="21"/>
        <v>I - 608 x 229 x 11.18 x 17.28</v>
      </c>
      <c r="F203" s="25">
        <v>113.10015999999999</v>
      </c>
      <c r="G203" s="6">
        <v>608</v>
      </c>
      <c r="H203" s="6">
        <v>229</v>
      </c>
      <c r="I203" s="6">
        <v>11.18</v>
      </c>
      <c r="J203" s="6">
        <v>17.28</v>
      </c>
      <c r="K203" s="6"/>
      <c r="L203" s="6">
        <v>14451.583999999999</v>
      </c>
      <c r="N203" s="5" t="str">
        <f t="shared" si="22"/>
        <v>I - 608 x 229 x 12 x 18</v>
      </c>
      <c r="O203" s="25">
        <f t="shared" si="23"/>
        <v>118.59780000000001</v>
      </c>
      <c r="P203" s="6">
        <f t="shared" si="24"/>
        <v>608</v>
      </c>
      <c r="Q203" s="6">
        <f t="shared" si="24"/>
        <v>229</v>
      </c>
      <c r="R203" s="6" cm="1">
        <f t="array" ref="R203">IF(I203-LOOKUP(I203, $Y$4:$Y$26) &lt;= 0.1, LOOKUP(I203, $Y$4:$Y$26), MIN(_xlfn._xlws.FILTER($Y$4:$Y$26, $Y$4:$Y$26&gt;=I203)))</f>
        <v>12</v>
      </c>
      <c r="S203" s="6" cm="1">
        <f t="array" ref="S203">IF(J203-LOOKUP(J203, $Y$4:$Y$26) &lt;= 0.1, LOOKUP(J203, $Y$4:$Y$26), MIN(_xlfn._xlws.FILTER($Y$4:$Y$26, $Y$4:$Y$26&gt;=J203)))</f>
        <v>18</v>
      </c>
    </row>
    <row r="204" spans="1:19" x14ac:dyDescent="0.25">
      <c r="A204" t="s">
        <v>506</v>
      </c>
      <c r="B204" s="11">
        <f t="shared" si="19"/>
        <v>101</v>
      </c>
      <c r="C204" s="11" t="str">
        <f t="shared" si="20"/>
        <v>I W24X101</v>
      </c>
      <c r="D204" s="5" t="s">
        <v>284</v>
      </c>
      <c r="E204" s="5" t="str">
        <f t="shared" si="21"/>
        <v>I - 602 x 228 x 10.55 x 14.86</v>
      </c>
      <c r="F204" s="25">
        <v>101.19488</v>
      </c>
      <c r="G204" s="6">
        <v>602</v>
      </c>
      <c r="H204" s="6">
        <v>228</v>
      </c>
      <c r="I204" s="6">
        <v>10.549999999999999</v>
      </c>
      <c r="J204" s="6">
        <v>14.86</v>
      </c>
      <c r="K204" s="6"/>
      <c r="L204" s="6">
        <v>12967.716</v>
      </c>
      <c r="N204" s="5" t="str">
        <f t="shared" si="22"/>
        <v>I - 602 x 228 x 12 x 16</v>
      </c>
      <c r="O204" s="25">
        <f t="shared" si="23"/>
        <v>110.9676</v>
      </c>
      <c r="P204" s="6">
        <f t="shared" si="24"/>
        <v>602</v>
      </c>
      <c r="Q204" s="6">
        <f t="shared" si="24"/>
        <v>228</v>
      </c>
      <c r="R204" s="6" cm="1">
        <f t="array" ref="R204">IF(I204-LOOKUP(I204, $Y$4:$Y$26) &lt;= 0.1, LOOKUP(I204, $Y$4:$Y$26), MIN(_xlfn._xlws.FILTER($Y$4:$Y$26, $Y$4:$Y$26&gt;=I204)))</f>
        <v>12</v>
      </c>
      <c r="S204" s="6" cm="1">
        <f t="array" ref="S204">IF(J204-LOOKUP(J204, $Y$4:$Y$26) &lt;= 0.1, LOOKUP(J204, $Y$4:$Y$26), MIN(_xlfn._xlws.FILTER($Y$4:$Y$26, $Y$4:$Y$26&gt;=J204)))</f>
        <v>16</v>
      </c>
    </row>
    <row r="205" spans="1:19" x14ac:dyDescent="0.25">
      <c r="A205" t="s">
        <v>506</v>
      </c>
      <c r="B205" s="11">
        <f t="shared" si="19"/>
        <v>92</v>
      </c>
      <c r="C205" s="11" t="str">
        <f t="shared" si="20"/>
        <v>I W24X92</v>
      </c>
      <c r="D205" s="5" t="s">
        <v>285</v>
      </c>
      <c r="E205" s="5" t="str">
        <f t="shared" si="21"/>
        <v>I - 602 x 179 x 10.93 x 14.99</v>
      </c>
      <c r="F205" s="25">
        <v>92.265919999999994</v>
      </c>
      <c r="G205" s="6">
        <v>602</v>
      </c>
      <c r="H205" s="6">
        <v>179</v>
      </c>
      <c r="I205" s="6">
        <v>10.93</v>
      </c>
      <c r="J205" s="6">
        <v>14.99</v>
      </c>
      <c r="K205" s="6"/>
      <c r="L205" s="6">
        <v>11741.911999999998</v>
      </c>
      <c r="N205" s="5" t="str">
        <f t="shared" si="22"/>
        <v>I - 602 x 179 x 12 x 16</v>
      </c>
      <c r="O205" s="25">
        <f t="shared" si="23"/>
        <v>98.658799999999999</v>
      </c>
      <c r="P205" s="6">
        <f t="shared" si="24"/>
        <v>602</v>
      </c>
      <c r="Q205" s="6">
        <f t="shared" si="24"/>
        <v>179</v>
      </c>
      <c r="R205" s="6" cm="1">
        <f t="array" ref="R205">IF(I205-LOOKUP(I205, $Y$4:$Y$26) &lt;= 0.1, LOOKUP(I205, $Y$4:$Y$26), MIN(_xlfn._xlws.FILTER($Y$4:$Y$26, $Y$4:$Y$26&gt;=I205)))</f>
        <v>12</v>
      </c>
      <c r="S205" s="6" cm="1">
        <f t="array" ref="S205">IF(J205-LOOKUP(J205, $Y$4:$Y$26) &lt;= 0.1, LOOKUP(J205, $Y$4:$Y$26), MIN(_xlfn._xlws.FILTER($Y$4:$Y$26, $Y$4:$Y$26&gt;=J205)))</f>
        <v>16</v>
      </c>
    </row>
    <row r="206" spans="1:19" x14ac:dyDescent="0.25">
      <c r="A206" t="s">
        <v>506</v>
      </c>
      <c r="B206" s="11">
        <f t="shared" si="19"/>
        <v>82</v>
      </c>
      <c r="C206" s="11" t="str">
        <f t="shared" si="20"/>
        <v>I W24X82</v>
      </c>
      <c r="D206" s="5" t="s">
        <v>286</v>
      </c>
      <c r="E206" s="5" t="str">
        <f t="shared" si="21"/>
        <v>I - 600 x 179 x 10.04 x 12.83</v>
      </c>
      <c r="F206" s="25">
        <v>81.848799999999997</v>
      </c>
      <c r="G206" s="6">
        <v>600</v>
      </c>
      <c r="H206" s="6">
        <v>179</v>
      </c>
      <c r="I206" s="6">
        <v>10.039999999999999</v>
      </c>
      <c r="J206" s="6">
        <v>12.83</v>
      </c>
      <c r="K206" s="6"/>
      <c r="L206" s="6">
        <v>10451.591999999999</v>
      </c>
      <c r="N206" s="5" t="str">
        <f t="shared" si="22"/>
        <v>I - 600 x 179 x 10 x 14</v>
      </c>
      <c r="O206" s="25">
        <f t="shared" si="23"/>
        <v>84.246200000000002</v>
      </c>
      <c r="P206" s="6">
        <f t="shared" si="24"/>
        <v>600</v>
      </c>
      <c r="Q206" s="6">
        <f t="shared" si="24"/>
        <v>179</v>
      </c>
      <c r="R206" s="6" cm="1">
        <f t="array" ref="R206">IF(I206-LOOKUP(I206, $Y$4:$Y$26) &lt;= 0.1, LOOKUP(I206, $Y$4:$Y$26), MIN(_xlfn._xlws.FILTER($Y$4:$Y$26, $Y$4:$Y$26&gt;=I206)))</f>
        <v>10</v>
      </c>
      <c r="S206" s="6" cm="1">
        <f t="array" ref="S206">IF(J206-LOOKUP(J206, $Y$4:$Y$26) &lt;= 0.1, LOOKUP(J206, $Y$4:$Y$26), MIN(_xlfn._xlws.FILTER($Y$4:$Y$26, $Y$4:$Y$26&gt;=J206)))</f>
        <v>14</v>
      </c>
    </row>
    <row r="207" spans="1:19" x14ac:dyDescent="0.25">
      <c r="A207" t="s">
        <v>507</v>
      </c>
      <c r="B207" s="11">
        <f t="shared" si="19"/>
        <v>409</v>
      </c>
      <c r="C207" s="11" t="str">
        <f t="shared" si="20"/>
        <v>I W21X409</v>
      </c>
      <c r="D207" s="5" t="s">
        <v>287</v>
      </c>
      <c r="E207" s="5" t="str">
        <f t="shared" si="21"/>
        <v>H - 613 x 328 x 30.99 x 55.63</v>
      </c>
      <c r="F207" s="25">
        <v>409.24399999999997</v>
      </c>
      <c r="G207" s="6">
        <v>613</v>
      </c>
      <c r="H207" s="6">
        <v>328</v>
      </c>
      <c r="I207" s="6">
        <v>30.990000000000002</v>
      </c>
      <c r="J207" s="6">
        <v>55.629999999999995</v>
      </c>
      <c r="K207" s="6"/>
      <c r="L207" s="6">
        <v>52774.087999999996</v>
      </c>
      <c r="N207" s="5" t="str">
        <f t="shared" si="22"/>
        <v>H - 613 x 328 x 32 x 60</v>
      </c>
      <c r="O207" s="25">
        <f t="shared" si="23"/>
        <v>432.81760000000003</v>
      </c>
      <c r="P207" s="6">
        <f t="shared" si="24"/>
        <v>613</v>
      </c>
      <c r="Q207" s="6">
        <f t="shared" si="24"/>
        <v>328</v>
      </c>
      <c r="R207" s="6" cm="1">
        <f t="array" ref="R207">IF(I207-LOOKUP(I207, $Y$4:$Y$26) &lt;= 0.1, LOOKUP(I207, $Y$4:$Y$26), MIN(_xlfn._xlws.FILTER($Y$4:$Y$26, $Y$4:$Y$26&gt;=I207)))</f>
        <v>32</v>
      </c>
      <c r="S207" s="6" cm="1">
        <f t="array" ref="S207">IF(J207-LOOKUP(J207, $Y$4:$Y$26) &lt;= 0.1, LOOKUP(J207, $Y$4:$Y$26), MIN(_xlfn._xlws.FILTER($Y$4:$Y$26, $Y$4:$Y$26&gt;=J207)))</f>
        <v>60</v>
      </c>
    </row>
    <row r="208" spans="1:19" x14ac:dyDescent="0.25">
      <c r="A208" t="s">
        <v>507</v>
      </c>
      <c r="B208" s="11">
        <f t="shared" si="19"/>
        <v>369</v>
      </c>
      <c r="C208" s="11" t="str">
        <f t="shared" si="20"/>
        <v>I W21X369</v>
      </c>
      <c r="D208" s="5" t="s">
        <v>288</v>
      </c>
      <c r="E208" s="5" t="str">
        <f t="shared" si="21"/>
        <v>H - 602 x 326 x 27.94 x 50.55</v>
      </c>
      <c r="F208" s="25">
        <v>369.06367999999998</v>
      </c>
      <c r="G208" s="6">
        <v>602</v>
      </c>
      <c r="H208" s="6">
        <v>326</v>
      </c>
      <c r="I208" s="6">
        <v>27.94</v>
      </c>
      <c r="J208" s="6">
        <v>50.55</v>
      </c>
      <c r="K208" s="6"/>
      <c r="L208" s="6">
        <v>47612.807999999997</v>
      </c>
      <c r="N208" s="5" t="str">
        <f t="shared" si="22"/>
        <v>H - 602 x 326 x 28 x 60</v>
      </c>
      <c r="O208" s="25">
        <f t="shared" si="23"/>
        <v>413.03559999999999</v>
      </c>
      <c r="P208" s="6">
        <f t="shared" si="24"/>
        <v>602</v>
      </c>
      <c r="Q208" s="6">
        <f t="shared" si="24"/>
        <v>326</v>
      </c>
      <c r="R208" s="6" cm="1">
        <f t="array" ref="R208">IF(I208-LOOKUP(I208, $Y$4:$Y$26) &lt;= 0.1, LOOKUP(I208, $Y$4:$Y$26), MIN(_xlfn._xlws.FILTER($Y$4:$Y$26, $Y$4:$Y$26&gt;=I208)))</f>
        <v>28</v>
      </c>
      <c r="S208" s="6" cm="1">
        <f t="array" ref="S208">IF(J208-LOOKUP(J208, $Y$4:$Y$26) &lt;= 0.1, LOOKUP(J208, $Y$4:$Y$26), MIN(_xlfn._xlws.FILTER($Y$4:$Y$26, $Y$4:$Y$26&gt;=J208)))</f>
        <v>60</v>
      </c>
    </row>
    <row r="209" spans="1:19" x14ac:dyDescent="0.25">
      <c r="A209" t="s">
        <v>507</v>
      </c>
      <c r="B209" s="11">
        <f t="shared" si="19"/>
        <v>332</v>
      </c>
      <c r="C209" s="11" t="str">
        <f t="shared" si="20"/>
        <v>I W21X332</v>
      </c>
      <c r="D209" s="5" t="s">
        <v>289</v>
      </c>
      <c r="E209" s="5" t="str">
        <f t="shared" si="21"/>
        <v>H - 595 x 323 x 25.4 x 45.47</v>
      </c>
      <c r="F209" s="25">
        <v>331.85967999999997</v>
      </c>
      <c r="G209" s="6">
        <v>595</v>
      </c>
      <c r="H209" s="6">
        <v>323</v>
      </c>
      <c r="I209" s="6">
        <v>25.4</v>
      </c>
      <c r="J209" s="6">
        <v>45.47</v>
      </c>
      <c r="K209" s="6"/>
      <c r="L209" s="6">
        <v>42903.14</v>
      </c>
      <c r="N209" s="5" t="str">
        <f t="shared" si="22"/>
        <v>H - 595 x 323 x 28 x 50</v>
      </c>
      <c r="O209" s="25">
        <f t="shared" si="23"/>
        <v>362.35599999999999</v>
      </c>
      <c r="P209" s="6">
        <f t="shared" si="24"/>
        <v>595</v>
      </c>
      <c r="Q209" s="6">
        <f t="shared" si="24"/>
        <v>323</v>
      </c>
      <c r="R209" s="6" cm="1">
        <f t="array" ref="R209">IF(I209-LOOKUP(I209, $Y$4:$Y$26) &lt;= 0.1, LOOKUP(I209, $Y$4:$Y$26), MIN(_xlfn._xlws.FILTER($Y$4:$Y$26, $Y$4:$Y$26&gt;=I209)))</f>
        <v>28</v>
      </c>
      <c r="S209" s="6" cm="1">
        <f t="array" ref="S209">IF(J209-LOOKUP(J209, $Y$4:$Y$26) &lt;= 0.1, LOOKUP(J209, $Y$4:$Y$26), MIN(_xlfn._xlws.FILTER($Y$4:$Y$26, $Y$4:$Y$26&gt;=J209)))</f>
        <v>50</v>
      </c>
    </row>
    <row r="210" spans="1:19" x14ac:dyDescent="0.25">
      <c r="A210" t="s">
        <v>507</v>
      </c>
      <c r="B210" s="11">
        <f t="shared" si="19"/>
        <v>299</v>
      </c>
      <c r="C210" s="11" t="str">
        <f t="shared" si="20"/>
        <v>I W21X299</v>
      </c>
      <c r="D210" s="5" t="s">
        <v>290</v>
      </c>
      <c r="E210" s="5" t="str">
        <f t="shared" si="21"/>
        <v>H - 585 x 321 x 23.12 x 41.41</v>
      </c>
      <c r="F210" s="25">
        <v>299.12016</v>
      </c>
      <c r="G210" s="6">
        <v>585</v>
      </c>
      <c r="H210" s="6">
        <v>321</v>
      </c>
      <c r="I210" s="6">
        <v>23.12</v>
      </c>
      <c r="J210" s="6">
        <v>41.41</v>
      </c>
      <c r="K210" s="6"/>
      <c r="L210" s="6">
        <v>38257.987999999998</v>
      </c>
      <c r="N210" s="5" t="str">
        <f t="shared" si="22"/>
        <v>H - 585 x 321 x 25 x 45</v>
      </c>
      <c r="O210" s="25">
        <f t="shared" si="23"/>
        <v>323.93025</v>
      </c>
      <c r="P210" s="6">
        <f t="shared" si="24"/>
        <v>585</v>
      </c>
      <c r="Q210" s="6">
        <f t="shared" si="24"/>
        <v>321</v>
      </c>
      <c r="R210" s="6" cm="1">
        <f t="array" ref="R210">IF(I210-LOOKUP(I210, $Y$4:$Y$26) &lt;= 0.1, LOOKUP(I210, $Y$4:$Y$26), MIN(_xlfn._xlws.FILTER($Y$4:$Y$26, $Y$4:$Y$26&gt;=I210)))</f>
        <v>25</v>
      </c>
      <c r="S210" s="6" cm="1">
        <f t="array" ref="S210">IF(J210-LOOKUP(J210, $Y$4:$Y$26) &lt;= 0.1, LOOKUP(J210, $Y$4:$Y$26), MIN(_xlfn._xlws.FILTER($Y$4:$Y$26, $Y$4:$Y$26&gt;=J210)))</f>
        <v>45</v>
      </c>
    </row>
    <row r="211" spans="1:19" x14ac:dyDescent="0.25">
      <c r="A211" t="s">
        <v>507</v>
      </c>
      <c r="B211" s="11">
        <f t="shared" si="19"/>
        <v>271</v>
      </c>
      <c r="C211" s="11" t="str">
        <f t="shared" si="20"/>
        <v>I W21X271</v>
      </c>
      <c r="D211" s="5" t="s">
        <v>291</v>
      </c>
      <c r="E211" s="5" t="str">
        <f t="shared" si="21"/>
        <v>H - 577 x 318 x 21.09 x 37.6</v>
      </c>
      <c r="F211" s="25">
        <v>270.84512000000001</v>
      </c>
      <c r="G211" s="6">
        <v>577</v>
      </c>
      <c r="H211" s="6">
        <v>318</v>
      </c>
      <c r="I211" s="6">
        <v>21.09</v>
      </c>
      <c r="J211" s="6">
        <v>37.6</v>
      </c>
      <c r="K211" s="6"/>
      <c r="L211" s="6">
        <v>34580.576000000001</v>
      </c>
      <c r="N211" s="5" t="str">
        <f t="shared" si="22"/>
        <v>H - 577 x 318 x 22 x 40</v>
      </c>
      <c r="O211" s="25">
        <f t="shared" si="23"/>
        <v>285.53590000000003</v>
      </c>
      <c r="P211" s="6">
        <f t="shared" si="24"/>
        <v>577</v>
      </c>
      <c r="Q211" s="6">
        <f t="shared" si="24"/>
        <v>318</v>
      </c>
      <c r="R211" s="6" cm="1">
        <f t="array" ref="R211">IF(I211-LOOKUP(I211, $Y$4:$Y$26) &lt;= 0.1, LOOKUP(I211, $Y$4:$Y$26), MIN(_xlfn._xlws.FILTER($Y$4:$Y$26, $Y$4:$Y$26&gt;=I211)))</f>
        <v>22</v>
      </c>
      <c r="S211" s="6" cm="1">
        <f t="array" ref="S211">IF(J211-LOOKUP(J211, $Y$4:$Y$26) &lt;= 0.1, LOOKUP(J211, $Y$4:$Y$26), MIN(_xlfn._xlws.FILTER($Y$4:$Y$26, $Y$4:$Y$26&gt;=J211)))</f>
        <v>40</v>
      </c>
    </row>
    <row r="212" spans="1:19" x14ac:dyDescent="0.25">
      <c r="A212" t="s">
        <v>507</v>
      </c>
      <c r="B212" s="11">
        <f t="shared" si="19"/>
        <v>247</v>
      </c>
      <c r="C212" s="11" t="str">
        <f t="shared" si="20"/>
        <v>I W21X247</v>
      </c>
      <c r="D212" s="5" t="s">
        <v>292</v>
      </c>
      <c r="E212" s="5" t="str">
        <f t="shared" si="21"/>
        <v>H - 572 x 315 x 19.05 x 34.55</v>
      </c>
      <c r="F212" s="25">
        <v>247.03456</v>
      </c>
      <c r="G212" s="6">
        <v>572</v>
      </c>
      <c r="H212" s="6">
        <v>315</v>
      </c>
      <c r="I212" s="6">
        <v>19.05</v>
      </c>
      <c r="J212" s="6">
        <v>34.549999999999997</v>
      </c>
      <c r="K212" s="6"/>
      <c r="L212" s="6">
        <v>31483.807999999994</v>
      </c>
      <c r="N212" s="5" t="str">
        <f t="shared" si="22"/>
        <v>H - 572 x 315 x 20 x 35</v>
      </c>
      <c r="O212" s="25">
        <f t="shared" si="23"/>
        <v>251.90649999999999</v>
      </c>
      <c r="P212" s="6">
        <f t="shared" si="24"/>
        <v>572</v>
      </c>
      <c r="Q212" s="6">
        <f t="shared" si="24"/>
        <v>315</v>
      </c>
      <c r="R212" s="6" cm="1">
        <f t="array" ref="R212">IF(I212-LOOKUP(I212, $Y$4:$Y$26) &lt;= 0.1, LOOKUP(I212, $Y$4:$Y$26), MIN(_xlfn._xlws.FILTER($Y$4:$Y$26, $Y$4:$Y$26&gt;=I212)))</f>
        <v>20</v>
      </c>
      <c r="S212" s="6" cm="1">
        <f t="array" ref="S212">IF(J212-LOOKUP(J212, $Y$4:$Y$26) &lt;= 0.1, LOOKUP(J212, $Y$4:$Y$26), MIN(_xlfn._xlws.FILTER($Y$4:$Y$26, $Y$4:$Y$26&gt;=J212)))</f>
        <v>35</v>
      </c>
    </row>
    <row r="213" spans="1:19" x14ac:dyDescent="0.25">
      <c r="A213" t="s">
        <v>507</v>
      </c>
      <c r="B213" s="11">
        <f t="shared" si="19"/>
        <v>219</v>
      </c>
      <c r="C213" s="11" t="str">
        <f t="shared" si="20"/>
        <v>I W21X219</v>
      </c>
      <c r="D213" s="5" t="s">
        <v>293</v>
      </c>
      <c r="E213" s="5" t="str">
        <f t="shared" si="21"/>
        <v>H - 562 x 318 x 18.29 x 29.21</v>
      </c>
      <c r="F213" s="25">
        <v>218.75951999999998</v>
      </c>
      <c r="G213" s="6">
        <v>562</v>
      </c>
      <c r="H213" s="6">
        <v>318</v>
      </c>
      <c r="I213" s="6">
        <v>18.290000000000003</v>
      </c>
      <c r="J213" s="6">
        <v>29.21</v>
      </c>
      <c r="K213" s="6"/>
      <c r="L213" s="6">
        <v>27870.912</v>
      </c>
      <c r="N213" s="5" t="str">
        <f t="shared" si="22"/>
        <v>H - 562 x 318 x 20 x 30</v>
      </c>
      <c r="O213" s="25">
        <f t="shared" si="23"/>
        <v>228.59200000000001</v>
      </c>
      <c r="P213" s="6">
        <f t="shared" si="24"/>
        <v>562</v>
      </c>
      <c r="Q213" s="6">
        <f t="shared" si="24"/>
        <v>318</v>
      </c>
      <c r="R213" s="6" cm="1">
        <f t="array" ref="R213">IF(I213-LOOKUP(I213, $Y$4:$Y$26) &lt;= 0.1, LOOKUP(I213, $Y$4:$Y$26), MIN(_xlfn._xlws.FILTER($Y$4:$Y$26, $Y$4:$Y$26&gt;=I213)))</f>
        <v>20</v>
      </c>
      <c r="S213" s="6" cm="1">
        <f t="array" ref="S213">IF(J213-LOOKUP(J213, $Y$4:$Y$26) &lt;= 0.1, LOOKUP(J213, $Y$4:$Y$26), MIN(_xlfn._xlws.FILTER($Y$4:$Y$26, $Y$4:$Y$26&gt;=J213)))</f>
        <v>30</v>
      </c>
    </row>
    <row r="214" spans="1:19" x14ac:dyDescent="0.25">
      <c r="A214" t="s">
        <v>507</v>
      </c>
      <c r="B214" s="11">
        <f t="shared" si="19"/>
        <v>196</v>
      </c>
      <c r="C214" s="11" t="str">
        <f t="shared" si="20"/>
        <v>I W21X196</v>
      </c>
      <c r="D214" s="5" t="s">
        <v>294</v>
      </c>
      <c r="E214" s="5" t="str">
        <f t="shared" si="21"/>
        <v>H - 554 x 315 x 16.51 x 26.42</v>
      </c>
      <c r="F214" s="25">
        <v>196.43711999999999</v>
      </c>
      <c r="G214" s="6">
        <v>554</v>
      </c>
      <c r="H214" s="6">
        <v>315</v>
      </c>
      <c r="I214" s="6">
        <v>16.510000000000002</v>
      </c>
      <c r="J214" s="6">
        <v>26.42</v>
      </c>
      <c r="K214" s="6"/>
      <c r="L214" s="6">
        <v>25032.207999999995</v>
      </c>
      <c r="N214" s="5" t="str">
        <f t="shared" si="22"/>
        <v>H - 554 x 315 x 18 x 28</v>
      </c>
      <c r="O214" s="25">
        <f t="shared" si="23"/>
        <v>208.84139999999999</v>
      </c>
      <c r="P214" s="6">
        <f t="shared" si="24"/>
        <v>554</v>
      </c>
      <c r="Q214" s="6">
        <f t="shared" si="24"/>
        <v>315</v>
      </c>
      <c r="R214" s="6" cm="1">
        <f t="array" ref="R214">IF(I214-LOOKUP(I214, $Y$4:$Y$26) &lt;= 0.1, LOOKUP(I214, $Y$4:$Y$26), MIN(_xlfn._xlws.FILTER($Y$4:$Y$26, $Y$4:$Y$26&gt;=I214)))</f>
        <v>18</v>
      </c>
      <c r="S214" s="6" cm="1">
        <f t="array" ref="S214">IF(J214-LOOKUP(J214, $Y$4:$Y$26) &lt;= 0.1, LOOKUP(J214, $Y$4:$Y$26), MIN(_xlfn._xlws.FILTER($Y$4:$Y$26, $Y$4:$Y$26&gt;=J214)))</f>
        <v>28</v>
      </c>
    </row>
    <row r="215" spans="1:19" x14ac:dyDescent="0.25">
      <c r="A215" t="s">
        <v>507</v>
      </c>
      <c r="B215" s="11">
        <f t="shared" si="19"/>
        <v>182</v>
      </c>
      <c r="C215" s="11" t="str">
        <f t="shared" si="20"/>
        <v>I W21X182</v>
      </c>
      <c r="D215" s="5" t="s">
        <v>295</v>
      </c>
      <c r="E215" s="5" t="str">
        <f t="shared" si="21"/>
        <v>H - 552 x 315 x 15.24 x 24.39</v>
      </c>
      <c r="F215" s="25">
        <v>181.55552</v>
      </c>
      <c r="G215" s="6">
        <v>552</v>
      </c>
      <c r="H215" s="6">
        <v>315</v>
      </c>
      <c r="I215" s="6">
        <v>15.24</v>
      </c>
      <c r="J215" s="6">
        <v>24.39</v>
      </c>
      <c r="K215" s="6"/>
      <c r="L215" s="6">
        <v>23161.243999999999</v>
      </c>
      <c r="N215" s="5" t="str">
        <f t="shared" si="22"/>
        <v>H - 552 x 315 x 16 x 25</v>
      </c>
      <c r="O215" s="25">
        <f t="shared" si="23"/>
        <v>186.68870000000001</v>
      </c>
      <c r="P215" s="6">
        <f t="shared" si="24"/>
        <v>552</v>
      </c>
      <c r="Q215" s="6">
        <f t="shared" si="24"/>
        <v>315</v>
      </c>
      <c r="R215" s="6" cm="1">
        <f t="array" ref="R215">IF(I215-LOOKUP(I215, $Y$4:$Y$26) &lt;= 0.1, LOOKUP(I215, $Y$4:$Y$26), MIN(_xlfn._xlws.FILTER($Y$4:$Y$26, $Y$4:$Y$26&gt;=I215)))</f>
        <v>16</v>
      </c>
      <c r="S215" s="6" cm="1">
        <f t="array" ref="S215">IF(J215-LOOKUP(J215, $Y$4:$Y$26) &lt;= 0.1, LOOKUP(J215, $Y$4:$Y$26), MIN(_xlfn._xlws.FILTER($Y$4:$Y$26, $Y$4:$Y$26&gt;=J215)))</f>
        <v>25</v>
      </c>
    </row>
    <row r="216" spans="1:19" x14ac:dyDescent="0.25">
      <c r="A216" t="s">
        <v>507</v>
      </c>
      <c r="B216" s="11">
        <f t="shared" si="19"/>
        <v>165</v>
      </c>
      <c r="C216" s="11" t="str">
        <f t="shared" si="20"/>
        <v>I W21X165</v>
      </c>
      <c r="D216" s="5" t="s">
        <v>296</v>
      </c>
      <c r="E216" s="5" t="str">
        <f t="shared" si="21"/>
        <v>H - 547 x 313 x 13.97 x 22.23</v>
      </c>
      <c r="F216" s="25">
        <v>165.18575999999999</v>
      </c>
      <c r="G216" s="6">
        <v>547</v>
      </c>
      <c r="H216" s="6">
        <v>313</v>
      </c>
      <c r="I216" s="6">
        <v>13.97</v>
      </c>
      <c r="J216" s="6">
        <v>22.23</v>
      </c>
      <c r="K216" s="6"/>
      <c r="L216" s="6">
        <v>21032.216</v>
      </c>
      <c r="N216" s="5" t="str">
        <f t="shared" si="22"/>
        <v>H - 547 x 313 x 14 x 25</v>
      </c>
      <c r="O216" s="25">
        <f t="shared" si="23"/>
        <v>177.47280000000001</v>
      </c>
      <c r="P216" s="6">
        <f t="shared" si="24"/>
        <v>547</v>
      </c>
      <c r="Q216" s="6">
        <f t="shared" si="24"/>
        <v>313</v>
      </c>
      <c r="R216" s="6" cm="1">
        <f t="array" ref="R216">IF(I216-LOOKUP(I216, $Y$4:$Y$26) &lt;= 0.1, LOOKUP(I216, $Y$4:$Y$26), MIN(_xlfn._xlws.FILTER($Y$4:$Y$26, $Y$4:$Y$26&gt;=I216)))</f>
        <v>14</v>
      </c>
      <c r="S216" s="6" cm="1">
        <f t="array" ref="S216">IF(J216-LOOKUP(J216, $Y$4:$Y$26) &lt;= 0.1, LOOKUP(J216, $Y$4:$Y$26), MIN(_xlfn._xlws.FILTER($Y$4:$Y$26, $Y$4:$Y$26&gt;=J216)))</f>
        <v>25</v>
      </c>
    </row>
    <row r="217" spans="1:19" x14ac:dyDescent="0.25">
      <c r="A217" t="s">
        <v>507</v>
      </c>
      <c r="B217" s="11">
        <f t="shared" si="19"/>
        <v>150</v>
      </c>
      <c r="C217" s="11" t="str">
        <f t="shared" si="20"/>
        <v>I W21X150</v>
      </c>
      <c r="D217" s="5" t="s">
        <v>297</v>
      </c>
      <c r="E217" s="5" t="str">
        <f t="shared" si="21"/>
        <v>H - 544 x 313 x 12.7 x 20.32</v>
      </c>
      <c r="F217" s="25">
        <v>150.30416</v>
      </c>
      <c r="G217" s="6">
        <v>544</v>
      </c>
      <c r="H217" s="6">
        <v>313</v>
      </c>
      <c r="I217" s="6">
        <v>12.7</v>
      </c>
      <c r="J217" s="6">
        <v>20.32</v>
      </c>
      <c r="K217" s="6"/>
      <c r="L217" s="6">
        <v>19225.768</v>
      </c>
      <c r="N217" s="5" t="str">
        <f t="shared" si="22"/>
        <v>H - 544 x 313 x 14 x 22</v>
      </c>
      <c r="O217" s="25">
        <f t="shared" si="23"/>
        <v>163.06020000000001</v>
      </c>
      <c r="P217" s="6">
        <f t="shared" si="24"/>
        <v>544</v>
      </c>
      <c r="Q217" s="6">
        <f t="shared" si="24"/>
        <v>313</v>
      </c>
      <c r="R217" s="6" cm="1">
        <f t="array" ref="R217">IF(I217-LOOKUP(I217, $Y$4:$Y$26) &lt;= 0.1, LOOKUP(I217, $Y$4:$Y$26), MIN(_xlfn._xlws.FILTER($Y$4:$Y$26, $Y$4:$Y$26&gt;=I217)))</f>
        <v>14</v>
      </c>
      <c r="S217" s="6" cm="1">
        <f t="array" ref="S217">IF(J217-LOOKUP(J217, $Y$4:$Y$26) &lt;= 0.1, LOOKUP(J217, $Y$4:$Y$26), MIN(_xlfn._xlws.FILTER($Y$4:$Y$26, $Y$4:$Y$26&gt;=J217)))</f>
        <v>22</v>
      </c>
    </row>
    <row r="218" spans="1:19" x14ac:dyDescent="0.25">
      <c r="A218" t="s">
        <v>507</v>
      </c>
      <c r="B218" s="11">
        <f t="shared" si="19"/>
        <v>138</v>
      </c>
      <c r="C218" s="11" t="str">
        <f t="shared" si="20"/>
        <v>I W21X138</v>
      </c>
      <c r="D218" s="5" t="s">
        <v>298</v>
      </c>
      <c r="E218" s="5" t="str">
        <f t="shared" si="21"/>
        <v>I - 549 x 214 x 14.74 x 23.63</v>
      </c>
      <c r="F218" s="25">
        <v>138.39887999999999</v>
      </c>
      <c r="G218" s="6">
        <v>549</v>
      </c>
      <c r="H218" s="6">
        <v>214</v>
      </c>
      <c r="I218" s="6">
        <v>14.74</v>
      </c>
      <c r="J218" s="6">
        <v>23.630000000000003</v>
      </c>
      <c r="K218" s="6"/>
      <c r="L218" s="6">
        <v>17612.867999999999</v>
      </c>
      <c r="N218" s="5" t="str">
        <f t="shared" si="22"/>
        <v>I - 549 x 214 x 16 x 25</v>
      </c>
      <c r="O218" s="25">
        <f t="shared" si="23"/>
        <v>146.6694</v>
      </c>
      <c r="P218" s="6">
        <f t="shared" si="24"/>
        <v>549</v>
      </c>
      <c r="Q218" s="6">
        <f t="shared" si="24"/>
        <v>214</v>
      </c>
      <c r="R218" s="6" cm="1">
        <f t="array" ref="R218">IF(I218-LOOKUP(I218, $Y$4:$Y$26) &lt;= 0.1, LOOKUP(I218, $Y$4:$Y$26), MIN(_xlfn._xlws.FILTER($Y$4:$Y$26, $Y$4:$Y$26&gt;=I218)))</f>
        <v>16</v>
      </c>
      <c r="S218" s="6" cm="1">
        <f t="array" ref="S218">IF(J218-LOOKUP(J218, $Y$4:$Y$26) &lt;= 0.1, LOOKUP(J218, $Y$4:$Y$26), MIN(_xlfn._xlws.FILTER($Y$4:$Y$26, $Y$4:$Y$26&gt;=J218)))</f>
        <v>25</v>
      </c>
    </row>
    <row r="219" spans="1:19" x14ac:dyDescent="0.25">
      <c r="A219" t="s">
        <v>507</v>
      </c>
      <c r="B219" s="11">
        <f t="shared" si="19"/>
        <v>124</v>
      </c>
      <c r="C219" s="11" t="str">
        <f t="shared" si="20"/>
        <v>I W21X124</v>
      </c>
      <c r="D219" s="5" t="s">
        <v>299</v>
      </c>
      <c r="E219" s="5" t="str">
        <f t="shared" si="21"/>
        <v>I - 544 x 213 x 13.09 x 21.21</v>
      </c>
      <c r="F219" s="25">
        <v>123.51728</v>
      </c>
      <c r="G219" s="6">
        <v>544</v>
      </c>
      <c r="H219" s="6">
        <v>213</v>
      </c>
      <c r="I219" s="6">
        <v>13.09</v>
      </c>
      <c r="J219" s="6">
        <v>21.21</v>
      </c>
      <c r="K219" s="6"/>
      <c r="L219" s="6">
        <v>15741.903999999997</v>
      </c>
      <c r="N219" s="5" t="str">
        <f t="shared" si="22"/>
        <v>I - 544 x 213 x 14 x 22</v>
      </c>
      <c r="O219" s="25">
        <f t="shared" si="23"/>
        <v>128.52019999999999</v>
      </c>
      <c r="P219" s="6">
        <f t="shared" si="24"/>
        <v>544</v>
      </c>
      <c r="Q219" s="6">
        <f t="shared" si="24"/>
        <v>213</v>
      </c>
      <c r="R219" s="6" cm="1">
        <f t="array" ref="R219">IF(I219-LOOKUP(I219, $Y$4:$Y$26) &lt;= 0.1, LOOKUP(I219, $Y$4:$Y$26), MIN(_xlfn._xlws.FILTER($Y$4:$Y$26, $Y$4:$Y$26&gt;=I219)))</f>
        <v>14</v>
      </c>
      <c r="S219" s="6" cm="1">
        <f t="array" ref="S219">IF(J219-LOOKUP(J219, $Y$4:$Y$26) &lt;= 0.1, LOOKUP(J219, $Y$4:$Y$26), MIN(_xlfn._xlws.FILTER($Y$4:$Y$26, $Y$4:$Y$26&gt;=J219)))</f>
        <v>22</v>
      </c>
    </row>
    <row r="220" spans="1:19" x14ac:dyDescent="0.25">
      <c r="A220" t="s">
        <v>507</v>
      </c>
      <c r="B220" s="11">
        <f t="shared" si="19"/>
        <v>109</v>
      </c>
      <c r="C220" s="11" t="str">
        <f t="shared" si="20"/>
        <v>I W21X109</v>
      </c>
      <c r="D220" s="5" t="s">
        <v>300</v>
      </c>
      <c r="E220" s="5" t="str">
        <f t="shared" si="21"/>
        <v>I - 539 x 211 x 11.56 x 18.8</v>
      </c>
      <c r="F220" s="25">
        <v>108.63567999999999</v>
      </c>
      <c r="G220" s="6">
        <v>539</v>
      </c>
      <c r="H220" s="6">
        <v>211</v>
      </c>
      <c r="I220" s="6">
        <v>11.56</v>
      </c>
      <c r="J220" s="6">
        <v>18.8</v>
      </c>
      <c r="K220" s="6"/>
      <c r="L220" s="6">
        <v>13870.94</v>
      </c>
      <c r="N220" s="5" t="str">
        <f t="shared" si="22"/>
        <v>I - 539 x 211 x 12 x 20</v>
      </c>
      <c r="O220" s="25">
        <f t="shared" si="23"/>
        <v>113.2598</v>
      </c>
      <c r="P220" s="6">
        <f t="shared" si="24"/>
        <v>539</v>
      </c>
      <c r="Q220" s="6">
        <f t="shared" si="24"/>
        <v>211</v>
      </c>
      <c r="R220" s="6" cm="1">
        <f t="array" ref="R220">IF(I220-LOOKUP(I220, $Y$4:$Y$26) &lt;= 0.1, LOOKUP(I220, $Y$4:$Y$26), MIN(_xlfn._xlws.FILTER($Y$4:$Y$26, $Y$4:$Y$26&gt;=I220)))</f>
        <v>12</v>
      </c>
      <c r="S220" s="6" cm="1">
        <f t="array" ref="S220">IF(J220-LOOKUP(J220, $Y$4:$Y$26) &lt;= 0.1, LOOKUP(J220, $Y$4:$Y$26), MIN(_xlfn._xlws.FILTER($Y$4:$Y$26, $Y$4:$Y$26&gt;=J220)))</f>
        <v>20</v>
      </c>
    </row>
    <row r="221" spans="1:19" x14ac:dyDescent="0.25">
      <c r="A221" t="s">
        <v>507</v>
      </c>
      <c r="B221" s="11">
        <f t="shared" si="19"/>
        <v>101</v>
      </c>
      <c r="C221" s="11" t="str">
        <f t="shared" si="20"/>
        <v>I W21X101</v>
      </c>
      <c r="D221" s="5" t="s">
        <v>301</v>
      </c>
      <c r="E221" s="5" t="str">
        <f t="shared" si="21"/>
        <v>I - 536 x 211 x 10.93 x 17.4</v>
      </c>
      <c r="F221" s="25">
        <v>101.19488</v>
      </c>
      <c r="G221" s="6">
        <v>536</v>
      </c>
      <c r="H221" s="6">
        <v>211</v>
      </c>
      <c r="I221" s="6">
        <v>10.93</v>
      </c>
      <c r="J221" s="6">
        <v>17.400000000000002</v>
      </c>
      <c r="K221" s="6"/>
      <c r="L221" s="6">
        <v>12903.2</v>
      </c>
      <c r="N221" s="5" t="str">
        <f t="shared" si="22"/>
        <v>I - 536 x 211 x 12 x 18</v>
      </c>
      <c r="O221" s="25">
        <f t="shared" si="23"/>
        <v>106.7286</v>
      </c>
      <c r="P221" s="6">
        <f t="shared" si="24"/>
        <v>536</v>
      </c>
      <c r="Q221" s="6">
        <f t="shared" si="24"/>
        <v>211</v>
      </c>
      <c r="R221" s="6" cm="1">
        <f t="array" ref="R221">IF(I221-LOOKUP(I221, $Y$4:$Y$26) &lt;= 0.1, LOOKUP(I221, $Y$4:$Y$26), MIN(_xlfn._xlws.FILTER($Y$4:$Y$26, $Y$4:$Y$26&gt;=I221)))</f>
        <v>12</v>
      </c>
      <c r="S221" s="6" cm="1">
        <f t="array" ref="S221">IF(J221-LOOKUP(J221, $Y$4:$Y$26) &lt;= 0.1, LOOKUP(J221, $Y$4:$Y$26), MIN(_xlfn._xlws.FILTER($Y$4:$Y$26, $Y$4:$Y$26&gt;=J221)))</f>
        <v>18</v>
      </c>
    </row>
    <row r="222" spans="1:19" x14ac:dyDescent="0.25">
      <c r="A222" t="s">
        <v>507</v>
      </c>
      <c r="B222" s="11">
        <f t="shared" si="19"/>
        <v>92</v>
      </c>
      <c r="C222" s="11" t="str">
        <f t="shared" si="20"/>
        <v>I W21X92</v>
      </c>
      <c r="D222" s="5" t="s">
        <v>302</v>
      </c>
      <c r="E222" s="5" t="str">
        <f t="shared" si="21"/>
        <v>I - 534 x 210 x 10.16 x 15.63</v>
      </c>
      <c r="F222" s="25">
        <v>92.265919999999994</v>
      </c>
      <c r="G222" s="6">
        <v>534</v>
      </c>
      <c r="H222" s="6">
        <v>210</v>
      </c>
      <c r="I222" s="6">
        <v>10.16</v>
      </c>
      <c r="J222" s="6">
        <v>15.629999999999999</v>
      </c>
      <c r="K222" s="6"/>
      <c r="L222" s="6">
        <v>11806.428</v>
      </c>
      <c r="N222" s="5" t="str">
        <f t="shared" si="22"/>
        <v>I - 534 x 210 x 12 x 16</v>
      </c>
      <c r="O222" s="25">
        <f t="shared" si="23"/>
        <v>100.04040000000001</v>
      </c>
      <c r="P222" s="6">
        <f t="shared" si="24"/>
        <v>534</v>
      </c>
      <c r="Q222" s="6">
        <f t="shared" si="24"/>
        <v>210</v>
      </c>
      <c r="R222" s="6" cm="1">
        <f t="array" ref="R222">IF(I222-LOOKUP(I222, $Y$4:$Y$26) &lt;= 0.1, LOOKUP(I222, $Y$4:$Y$26), MIN(_xlfn._xlws.FILTER($Y$4:$Y$26, $Y$4:$Y$26&gt;=I222)))</f>
        <v>12</v>
      </c>
      <c r="S222" s="6" cm="1">
        <f t="array" ref="S222">IF(J222-LOOKUP(J222, $Y$4:$Y$26) &lt;= 0.1, LOOKUP(J222, $Y$4:$Y$26), MIN(_xlfn._xlws.FILTER($Y$4:$Y$26, $Y$4:$Y$26&gt;=J222)))</f>
        <v>16</v>
      </c>
    </row>
    <row r="223" spans="1:19" x14ac:dyDescent="0.25">
      <c r="A223" t="s">
        <v>507</v>
      </c>
      <c r="B223" s="11">
        <f t="shared" si="19"/>
        <v>82</v>
      </c>
      <c r="C223" s="11" t="str">
        <f t="shared" si="20"/>
        <v>I W21X82</v>
      </c>
      <c r="D223" s="5" t="s">
        <v>303</v>
      </c>
      <c r="E223" s="5" t="str">
        <f t="shared" si="21"/>
        <v>I - 529 x 209 x 9.53 x 13.26</v>
      </c>
      <c r="F223" s="25">
        <v>81.848799999999997</v>
      </c>
      <c r="G223" s="6">
        <v>529</v>
      </c>
      <c r="H223" s="6">
        <v>209</v>
      </c>
      <c r="I223" s="6">
        <v>9.5299999999999994</v>
      </c>
      <c r="J223" s="6">
        <v>13.26</v>
      </c>
      <c r="K223" s="6"/>
      <c r="L223" s="6">
        <v>10451.591999999999</v>
      </c>
      <c r="N223" s="5" t="str">
        <f t="shared" si="22"/>
        <v>I - 529 x 209 x 10 x 14</v>
      </c>
      <c r="O223" s="25">
        <f t="shared" si="23"/>
        <v>85.2667</v>
      </c>
      <c r="P223" s="6">
        <f t="shared" si="24"/>
        <v>529</v>
      </c>
      <c r="Q223" s="6">
        <f t="shared" si="24"/>
        <v>209</v>
      </c>
      <c r="R223" s="6" cm="1">
        <f t="array" ref="R223">IF(I223-LOOKUP(I223, $Y$4:$Y$26) &lt;= 0.1, LOOKUP(I223, $Y$4:$Y$26), MIN(_xlfn._xlws.FILTER($Y$4:$Y$26, $Y$4:$Y$26&gt;=I223)))</f>
        <v>10</v>
      </c>
      <c r="S223" s="6" cm="1">
        <f t="array" ref="S223">IF(J223-LOOKUP(J223, $Y$4:$Y$26) &lt;= 0.1, LOOKUP(J223, $Y$4:$Y$26), MIN(_xlfn._xlws.FILTER($Y$4:$Y$26, $Y$4:$Y$26&gt;=J223)))</f>
        <v>14</v>
      </c>
    </row>
    <row r="224" spans="1:19" x14ac:dyDescent="0.25">
      <c r="A224" t="s">
        <v>507</v>
      </c>
      <c r="B224" s="11">
        <f t="shared" si="19"/>
        <v>71</v>
      </c>
      <c r="C224" s="11" t="str">
        <f t="shared" si="20"/>
        <v>I W21X71</v>
      </c>
      <c r="D224" s="5" t="s">
        <v>304</v>
      </c>
      <c r="E224" s="5" t="str">
        <f t="shared" si="21"/>
        <v>I - 524 x 207 x 8.89 x 10.93</v>
      </c>
      <c r="F224" s="25">
        <v>71.43168</v>
      </c>
      <c r="G224" s="6">
        <v>524</v>
      </c>
      <c r="H224" s="6">
        <v>207</v>
      </c>
      <c r="I224" s="6">
        <v>8.89</v>
      </c>
      <c r="J224" s="6">
        <v>10.93</v>
      </c>
      <c r="K224" s="6"/>
      <c r="L224" s="6">
        <v>9096.7559999999994</v>
      </c>
      <c r="N224" s="5" t="str">
        <f t="shared" si="22"/>
        <v>I - 524 x 207 x 10 x 12</v>
      </c>
      <c r="O224" s="25">
        <f t="shared" si="23"/>
        <v>78.248800000000003</v>
      </c>
      <c r="P224" s="6">
        <f t="shared" si="24"/>
        <v>524</v>
      </c>
      <c r="Q224" s="6">
        <f t="shared" si="24"/>
        <v>207</v>
      </c>
      <c r="R224" s="6" cm="1">
        <f t="array" ref="R224">IF(I224-LOOKUP(I224, $Y$4:$Y$26) &lt;= 0.1, LOOKUP(I224, $Y$4:$Y$26), MIN(_xlfn._xlws.FILTER($Y$4:$Y$26, $Y$4:$Y$26&gt;=I224)))</f>
        <v>10</v>
      </c>
      <c r="S224" s="6" cm="1">
        <f t="array" ref="S224">IF(J224-LOOKUP(J224, $Y$4:$Y$26) &lt;= 0.1, LOOKUP(J224, $Y$4:$Y$26), MIN(_xlfn._xlws.FILTER($Y$4:$Y$26, $Y$4:$Y$26&gt;=J224)))</f>
        <v>12</v>
      </c>
    </row>
    <row r="225" spans="1:19" x14ac:dyDescent="0.25">
      <c r="A225" t="s">
        <v>507</v>
      </c>
      <c r="B225" s="11">
        <f t="shared" si="19"/>
        <v>85</v>
      </c>
      <c r="C225" s="11" t="str">
        <f t="shared" si="20"/>
        <v>I W21X85</v>
      </c>
      <c r="D225" s="5" t="s">
        <v>305</v>
      </c>
      <c r="E225" s="5" t="str">
        <f t="shared" si="21"/>
        <v>I - 536 x 167 x 10.29 x 16.51</v>
      </c>
      <c r="F225" s="25">
        <v>84.825119999999998</v>
      </c>
      <c r="G225" s="6">
        <v>536</v>
      </c>
      <c r="H225" s="6">
        <v>167</v>
      </c>
      <c r="I225" s="6">
        <v>10.29</v>
      </c>
      <c r="J225" s="6">
        <v>16.510000000000002</v>
      </c>
      <c r="K225" s="6"/>
      <c r="L225" s="6">
        <v>10774.171999999999</v>
      </c>
      <c r="N225" s="5" t="str">
        <f t="shared" si="22"/>
        <v>I - 536 x 167 x 12 x 18</v>
      </c>
      <c r="O225" s="25">
        <f t="shared" si="23"/>
        <v>94.294200000000004</v>
      </c>
      <c r="P225" s="6">
        <f t="shared" si="24"/>
        <v>536</v>
      </c>
      <c r="Q225" s="6">
        <f t="shared" si="24"/>
        <v>167</v>
      </c>
      <c r="R225" s="6" cm="1">
        <f t="array" ref="R225">IF(I225-LOOKUP(I225, $Y$4:$Y$26) &lt;= 0.1, LOOKUP(I225, $Y$4:$Y$26), MIN(_xlfn._xlws.FILTER($Y$4:$Y$26, $Y$4:$Y$26&gt;=I225)))</f>
        <v>12</v>
      </c>
      <c r="S225" s="6" cm="1">
        <f t="array" ref="S225">IF(J225-LOOKUP(J225, $Y$4:$Y$26) &lt;= 0.1, LOOKUP(J225, $Y$4:$Y$26), MIN(_xlfn._xlws.FILTER($Y$4:$Y$26, $Y$4:$Y$26&gt;=J225)))</f>
        <v>18</v>
      </c>
    </row>
    <row r="226" spans="1:19" x14ac:dyDescent="0.25">
      <c r="A226" t="s">
        <v>507</v>
      </c>
      <c r="B226" s="11">
        <f t="shared" si="19"/>
        <v>74</v>
      </c>
      <c r="C226" s="11" t="str">
        <f t="shared" si="20"/>
        <v>I W21X74</v>
      </c>
      <c r="D226" s="5" t="s">
        <v>306</v>
      </c>
      <c r="E226" s="5" t="str">
        <f t="shared" si="21"/>
        <v>I - 529 x 166 x 9.66 x 13.59</v>
      </c>
      <c r="F226" s="25">
        <v>74.408000000000001</v>
      </c>
      <c r="G226" s="6">
        <v>529</v>
      </c>
      <c r="H226" s="6">
        <v>166</v>
      </c>
      <c r="I226" s="6">
        <v>9.66</v>
      </c>
      <c r="J226" s="6">
        <v>13.59</v>
      </c>
      <c r="K226" s="6"/>
      <c r="L226" s="6">
        <v>9483.851999999999</v>
      </c>
      <c r="N226" s="5" t="str">
        <f t="shared" si="22"/>
        <v>I - 529 x 166 x 10 x 14</v>
      </c>
      <c r="O226" s="25">
        <f t="shared" si="23"/>
        <v>75.815299999999993</v>
      </c>
      <c r="P226" s="6">
        <f t="shared" si="24"/>
        <v>529</v>
      </c>
      <c r="Q226" s="6">
        <f t="shared" si="24"/>
        <v>166</v>
      </c>
      <c r="R226" s="6" cm="1">
        <f t="array" ref="R226">IF(I226-LOOKUP(I226, $Y$4:$Y$26) &lt;= 0.1, LOOKUP(I226, $Y$4:$Y$26), MIN(_xlfn._xlws.FILTER($Y$4:$Y$26, $Y$4:$Y$26&gt;=I226)))</f>
        <v>10</v>
      </c>
      <c r="S226" s="6" cm="1">
        <f t="array" ref="S226">IF(J226-LOOKUP(J226, $Y$4:$Y$26) &lt;= 0.1, LOOKUP(J226, $Y$4:$Y$26), MIN(_xlfn._xlws.FILTER($Y$4:$Y$26, $Y$4:$Y$26&gt;=J226)))</f>
        <v>14</v>
      </c>
    </row>
    <row r="227" spans="1:19" x14ac:dyDescent="0.25">
      <c r="A227" t="s">
        <v>507</v>
      </c>
      <c r="B227" s="11">
        <f t="shared" si="19"/>
        <v>65</v>
      </c>
      <c r="C227" s="11" t="str">
        <f t="shared" si="20"/>
        <v>I W21X65</v>
      </c>
      <c r="D227" s="5" t="s">
        <v>307</v>
      </c>
      <c r="E227" s="5" t="str">
        <f t="shared" si="21"/>
        <v>I - 526 x 166 x 8.89 x 11.43</v>
      </c>
      <c r="F227" s="25">
        <v>65.479039999999998</v>
      </c>
      <c r="G227" s="6">
        <v>526</v>
      </c>
      <c r="H227" s="6">
        <v>166</v>
      </c>
      <c r="I227" s="6">
        <v>8.89</v>
      </c>
      <c r="J227" s="6">
        <v>11.43</v>
      </c>
      <c r="K227" s="6"/>
      <c r="L227" s="6">
        <v>8387.08</v>
      </c>
      <c r="N227" s="5" t="str">
        <f t="shared" si="22"/>
        <v>I - 526 x 166 x 10 x 12</v>
      </c>
      <c r="O227" s="25">
        <f t="shared" si="23"/>
        <v>70.681399999999996</v>
      </c>
      <c r="P227" s="6">
        <f t="shared" si="24"/>
        <v>526</v>
      </c>
      <c r="Q227" s="6">
        <f t="shared" si="24"/>
        <v>166</v>
      </c>
      <c r="R227" s="6" cm="1">
        <f t="array" ref="R227">IF(I227-LOOKUP(I227, $Y$4:$Y$26) &lt;= 0.1, LOOKUP(I227, $Y$4:$Y$26), MIN(_xlfn._xlws.FILTER($Y$4:$Y$26, $Y$4:$Y$26&gt;=I227)))</f>
        <v>10</v>
      </c>
      <c r="S227" s="6" cm="1">
        <f t="array" ref="S227">IF(J227-LOOKUP(J227, $Y$4:$Y$26) &lt;= 0.1, LOOKUP(J227, $Y$4:$Y$26), MIN(_xlfn._xlws.FILTER($Y$4:$Y$26, $Y$4:$Y$26&gt;=J227)))</f>
        <v>12</v>
      </c>
    </row>
    <row r="228" spans="1:19" x14ac:dyDescent="0.25">
      <c r="A228" t="s">
        <v>508</v>
      </c>
      <c r="B228" s="11">
        <f t="shared" si="19"/>
        <v>463</v>
      </c>
      <c r="C228" s="11" t="str">
        <f t="shared" si="20"/>
        <v>I W18X463</v>
      </c>
      <c r="D228" s="5" t="s">
        <v>308</v>
      </c>
      <c r="E228" s="5" t="str">
        <f t="shared" si="21"/>
        <v>H - 567 x 305 x 38.61 x 69.6</v>
      </c>
      <c r="F228" s="25">
        <v>462.81775999999996</v>
      </c>
      <c r="G228" s="6">
        <v>567</v>
      </c>
      <c r="H228" s="6">
        <v>305</v>
      </c>
      <c r="I228" s="6">
        <v>38.61</v>
      </c>
      <c r="J228" s="6">
        <v>69.600000000000009</v>
      </c>
      <c r="K228" s="6"/>
      <c r="L228" s="6">
        <v>59096.655999999995</v>
      </c>
      <c r="N228" s="5" t="str">
        <f t="shared" si="22"/>
        <v>H - 567 x 305 x 40 x 70</v>
      </c>
      <c r="O228" s="25">
        <f t="shared" si="23"/>
        <v>469.27300000000002</v>
      </c>
      <c r="P228" s="6">
        <f t="shared" si="24"/>
        <v>567</v>
      </c>
      <c r="Q228" s="6">
        <f t="shared" si="24"/>
        <v>305</v>
      </c>
      <c r="R228" s="6" cm="1">
        <f t="array" ref="R228">IF(I228-LOOKUP(I228, $Y$4:$Y$26) &lt;= 0.1, LOOKUP(I228, $Y$4:$Y$26), MIN(_xlfn._xlws.FILTER($Y$4:$Y$26, $Y$4:$Y$26&gt;=I228)))</f>
        <v>40</v>
      </c>
      <c r="S228" s="6" cm="1">
        <f t="array" ref="S228">IF(J228-LOOKUP(J228, $Y$4:$Y$26) &lt;= 0.1, LOOKUP(J228, $Y$4:$Y$26), MIN(_xlfn._xlws.FILTER($Y$4:$Y$26, $Y$4:$Y$26&gt;=J228)))</f>
        <v>70</v>
      </c>
    </row>
    <row r="229" spans="1:19" x14ac:dyDescent="0.25">
      <c r="A229" t="s">
        <v>508</v>
      </c>
      <c r="B229" s="11">
        <f t="shared" si="19"/>
        <v>421</v>
      </c>
      <c r="C229" s="11" t="str">
        <f t="shared" si="20"/>
        <v>I W18X421</v>
      </c>
      <c r="D229" s="5" t="s">
        <v>309</v>
      </c>
      <c r="E229" s="5" t="str">
        <f t="shared" si="21"/>
        <v>H - 557 x 303 x 35.56 x 63.5</v>
      </c>
      <c r="F229" s="25">
        <v>421.14927999999998</v>
      </c>
      <c r="G229" s="6">
        <v>557</v>
      </c>
      <c r="H229" s="6">
        <v>303</v>
      </c>
      <c r="I229" s="6">
        <v>35.56</v>
      </c>
      <c r="J229" s="6">
        <v>63.5</v>
      </c>
      <c r="K229" s="6"/>
      <c r="L229" s="6">
        <v>53741.828000000001</v>
      </c>
      <c r="N229" s="5" t="str">
        <f t="shared" si="22"/>
        <v>H - 557 x 303 x 40 x 70</v>
      </c>
      <c r="O229" s="25">
        <f t="shared" si="23"/>
        <v>463.935</v>
      </c>
      <c r="P229" s="6">
        <f t="shared" si="24"/>
        <v>557</v>
      </c>
      <c r="Q229" s="6">
        <f t="shared" si="24"/>
        <v>303</v>
      </c>
      <c r="R229" s="6" cm="1">
        <f t="array" ref="R229">IF(I229-LOOKUP(I229, $Y$4:$Y$26) &lt;= 0.1, LOOKUP(I229, $Y$4:$Y$26), MIN(_xlfn._xlws.FILTER($Y$4:$Y$26, $Y$4:$Y$26&gt;=I229)))</f>
        <v>40</v>
      </c>
      <c r="S229" s="6" cm="1">
        <f t="array" ref="S229">IF(J229-LOOKUP(J229, $Y$4:$Y$26) &lt;= 0.1, LOOKUP(J229, $Y$4:$Y$26), MIN(_xlfn._xlws.FILTER($Y$4:$Y$26, $Y$4:$Y$26&gt;=J229)))</f>
        <v>70</v>
      </c>
    </row>
    <row r="230" spans="1:19" x14ac:dyDescent="0.25">
      <c r="A230" t="s">
        <v>508</v>
      </c>
      <c r="B230" s="11">
        <f t="shared" si="19"/>
        <v>384</v>
      </c>
      <c r="C230" s="11" t="str">
        <f t="shared" si="20"/>
        <v>I W18X384</v>
      </c>
      <c r="D230" s="5" t="s">
        <v>310</v>
      </c>
      <c r="E230" s="5" t="str">
        <f t="shared" si="21"/>
        <v>H - 547 x 300 x 32.52 x 58.42</v>
      </c>
      <c r="F230" s="25">
        <v>383.94527999999997</v>
      </c>
      <c r="G230" s="6">
        <v>547</v>
      </c>
      <c r="H230" s="6">
        <v>300</v>
      </c>
      <c r="I230" s="6">
        <v>32.519999999999996</v>
      </c>
      <c r="J230" s="6">
        <v>58.42</v>
      </c>
      <c r="K230" s="6"/>
      <c r="L230" s="6">
        <v>49032.159999999996</v>
      </c>
      <c r="N230" s="5" t="str">
        <f t="shared" si="22"/>
        <v>H - 547 x 300 x 35 x 60</v>
      </c>
      <c r="O230" s="25">
        <f t="shared" si="23"/>
        <v>399.91825</v>
      </c>
      <c r="P230" s="6">
        <f t="shared" si="24"/>
        <v>547</v>
      </c>
      <c r="Q230" s="6">
        <f t="shared" si="24"/>
        <v>300</v>
      </c>
      <c r="R230" s="6" cm="1">
        <f t="array" ref="R230">IF(I230-LOOKUP(I230, $Y$4:$Y$26) &lt;= 0.1, LOOKUP(I230, $Y$4:$Y$26), MIN(_xlfn._xlws.FILTER($Y$4:$Y$26, $Y$4:$Y$26&gt;=I230)))</f>
        <v>35</v>
      </c>
      <c r="S230" s="6" cm="1">
        <f t="array" ref="S230">IF(J230-LOOKUP(J230, $Y$4:$Y$26) &lt;= 0.1, LOOKUP(J230, $Y$4:$Y$26), MIN(_xlfn._xlws.FILTER($Y$4:$Y$26, $Y$4:$Y$26&gt;=J230)))</f>
        <v>60</v>
      </c>
    </row>
    <row r="231" spans="1:19" x14ac:dyDescent="0.25">
      <c r="A231" t="s">
        <v>508</v>
      </c>
      <c r="B231" s="11">
        <f t="shared" si="19"/>
        <v>348</v>
      </c>
      <c r="C231" s="11" t="str">
        <f t="shared" si="20"/>
        <v>I W18X348</v>
      </c>
      <c r="D231" s="5" t="s">
        <v>311</v>
      </c>
      <c r="E231" s="5" t="str">
        <f t="shared" si="21"/>
        <v>H - 536 x 298 x 29.47 x 53.6</v>
      </c>
      <c r="F231" s="25">
        <v>348.22944000000001</v>
      </c>
      <c r="G231" s="6">
        <v>536</v>
      </c>
      <c r="H231" s="6">
        <v>298</v>
      </c>
      <c r="I231" s="6">
        <v>29.470000000000002</v>
      </c>
      <c r="J231" s="6">
        <v>53.6</v>
      </c>
      <c r="K231" s="6"/>
      <c r="L231" s="6">
        <v>44257.975999999995</v>
      </c>
      <c r="N231" s="5" t="str">
        <f t="shared" si="22"/>
        <v>H - 536 x 298 x 30 x 60</v>
      </c>
      <c r="O231" s="25">
        <f t="shared" si="23"/>
        <v>378.68400000000003</v>
      </c>
      <c r="P231" s="6">
        <f t="shared" si="24"/>
        <v>536</v>
      </c>
      <c r="Q231" s="6">
        <f t="shared" si="24"/>
        <v>298</v>
      </c>
      <c r="R231" s="6" cm="1">
        <f t="array" ref="R231">IF(I231-LOOKUP(I231, $Y$4:$Y$26) &lt;= 0.1, LOOKUP(I231, $Y$4:$Y$26), MIN(_xlfn._xlws.FILTER($Y$4:$Y$26, $Y$4:$Y$26&gt;=I231)))</f>
        <v>30</v>
      </c>
      <c r="S231" s="6" cm="1">
        <f t="array" ref="S231">IF(J231-LOOKUP(J231, $Y$4:$Y$26) &lt;= 0.1, LOOKUP(J231, $Y$4:$Y$26), MIN(_xlfn._xlws.FILTER($Y$4:$Y$26, $Y$4:$Y$26&gt;=J231)))</f>
        <v>60</v>
      </c>
    </row>
    <row r="232" spans="1:19" x14ac:dyDescent="0.25">
      <c r="A232" t="s">
        <v>508</v>
      </c>
      <c r="B232" s="11">
        <f t="shared" si="19"/>
        <v>314</v>
      </c>
      <c r="C232" s="11" t="str">
        <f t="shared" si="20"/>
        <v>I W18X314</v>
      </c>
      <c r="D232" s="5" t="s">
        <v>312</v>
      </c>
      <c r="E232" s="5" t="str">
        <f t="shared" si="21"/>
        <v>H - 526 x 295 x 26.93 x 48.52</v>
      </c>
      <c r="F232" s="25">
        <v>314.00175999999999</v>
      </c>
      <c r="G232" s="6">
        <v>526</v>
      </c>
      <c r="H232" s="6">
        <v>295</v>
      </c>
      <c r="I232" s="6">
        <v>26.930000000000003</v>
      </c>
      <c r="J232" s="6">
        <v>48.519999999999996</v>
      </c>
      <c r="K232" s="6"/>
      <c r="L232" s="6">
        <v>40193.467999999993</v>
      </c>
      <c r="N232" s="5" t="str">
        <f t="shared" si="22"/>
        <v>H - 526 x 295 x 28 x 50</v>
      </c>
      <c r="O232" s="25">
        <f t="shared" si="23"/>
        <v>325.20979999999997</v>
      </c>
      <c r="P232" s="6">
        <f t="shared" si="24"/>
        <v>526</v>
      </c>
      <c r="Q232" s="6">
        <f t="shared" si="24"/>
        <v>295</v>
      </c>
      <c r="R232" s="6" cm="1">
        <f t="array" ref="R232">IF(I232-LOOKUP(I232, $Y$4:$Y$26) &lt;= 0.1, LOOKUP(I232, $Y$4:$Y$26), MIN(_xlfn._xlws.FILTER($Y$4:$Y$26, $Y$4:$Y$26&gt;=I232)))</f>
        <v>28</v>
      </c>
      <c r="S232" s="6" cm="1">
        <f t="array" ref="S232">IF(J232-LOOKUP(J232, $Y$4:$Y$26) &lt;= 0.1, LOOKUP(J232, $Y$4:$Y$26), MIN(_xlfn._xlws.FILTER($Y$4:$Y$26, $Y$4:$Y$26&gt;=J232)))</f>
        <v>50</v>
      </c>
    </row>
    <row r="233" spans="1:19" x14ac:dyDescent="0.25">
      <c r="A233" t="s">
        <v>508</v>
      </c>
      <c r="B233" s="11">
        <f t="shared" si="19"/>
        <v>286</v>
      </c>
      <c r="C233" s="11" t="str">
        <f t="shared" si="20"/>
        <v>I W18X286</v>
      </c>
      <c r="D233" s="5" t="s">
        <v>313</v>
      </c>
      <c r="E233" s="5" t="str">
        <f t="shared" si="21"/>
        <v>H - 519 x 293 x 24.39 x 44.45</v>
      </c>
      <c r="F233" s="25">
        <v>285.72672</v>
      </c>
      <c r="G233" s="6">
        <v>519</v>
      </c>
      <c r="H233" s="6">
        <v>293</v>
      </c>
      <c r="I233" s="6">
        <v>24.39</v>
      </c>
      <c r="J233" s="6">
        <v>44.45</v>
      </c>
      <c r="K233" s="6"/>
      <c r="L233" s="6">
        <v>36257.992000000006</v>
      </c>
      <c r="N233" s="5" t="str">
        <f t="shared" si="22"/>
        <v>H - 519 x 293 x 25 x 45</v>
      </c>
      <c r="O233" s="25">
        <f t="shared" si="23"/>
        <v>291.19574999999998</v>
      </c>
      <c r="P233" s="6">
        <f t="shared" si="24"/>
        <v>519</v>
      </c>
      <c r="Q233" s="6">
        <f t="shared" si="24"/>
        <v>293</v>
      </c>
      <c r="R233" s="6" cm="1">
        <f t="array" ref="R233">IF(I233-LOOKUP(I233, $Y$4:$Y$26) &lt;= 0.1, LOOKUP(I233, $Y$4:$Y$26), MIN(_xlfn._xlws.FILTER($Y$4:$Y$26, $Y$4:$Y$26&gt;=I233)))</f>
        <v>25</v>
      </c>
      <c r="S233" s="6" cm="1">
        <f t="array" ref="S233">IF(J233-LOOKUP(J233, $Y$4:$Y$26) &lt;= 0.1, LOOKUP(J233, $Y$4:$Y$26), MIN(_xlfn._xlws.FILTER($Y$4:$Y$26, $Y$4:$Y$26&gt;=J233)))</f>
        <v>45</v>
      </c>
    </row>
    <row r="234" spans="1:19" x14ac:dyDescent="0.25">
      <c r="A234" t="s">
        <v>508</v>
      </c>
      <c r="B234" s="11">
        <f t="shared" si="19"/>
        <v>260</v>
      </c>
      <c r="C234" s="11" t="str">
        <f t="shared" si="20"/>
        <v>I W18X260</v>
      </c>
      <c r="D234" s="5" t="s">
        <v>314</v>
      </c>
      <c r="E234" s="5" t="str">
        <f t="shared" si="21"/>
        <v>H - 508 x 290 x 22.61 x 40.39</v>
      </c>
      <c r="F234" s="25">
        <v>260.428</v>
      </c>
      <c r="G234" s="6">
        <v>508</v>
      </c>
      <c r="H234" s="6">
        <v>290</v>
      </c>
      <c r="I234" s="6">
        <v>22.610000000000003</v>
      </c>
      <c r="J234" s="6">
        <v>40.39</v>
      </c>
      <c r="K234" s="6"/>
      <c r="L234" s="6">
        <v>33161.223999999995</v>
      </c>
      <c r="N234" s="5" t="str">
        <f t="shared" si="22"/>
        <v>H - 508 x 290 x 25 x 45</v>
      </c>
      <c r="O234" s="25">
        <f t="shared" si="23"/>
        <v>286.91750000000002</v>
      </c>
      <c r="P234" s="6">
        <f t="shared" si="24"/>
        <v>508</v>
      </c>
      <c r="Q234" s="6">
        <f t="shared" si="24"/>
        <v>290</v>
      </c>
      <c r="R234" s="6" cm="1">
        <f t="array" ref="R234">IF(I234-LOOKUP(I234, $Y$4:$Y$26) &lt;= 0.1, LOOKUP(I234, $Y$4:$Y$26), MIN(_xlfn._xlws.FILTER($Y$4:$Y$26, $Y$4:$Y$26&gt;=I234)))</f>
        <v>25</v>
      </c>
      <c r="S234" s="6" cm="1">
        <f t="array" ref="S234">IF(J234-LOOKUP(J234, $Y$4:$Y$26) &lt;= 0.1, LOOKUP(J234, $Y$4:$Y$26), MIN(_xlfn._xlws.FILTER($Y$4:$Y$26, $Y$4:$Y$26&gt;=J234)))</f>
        <v>45</v>
      </c>
    </row>
    <row r="235" spans="1:19" x14ac:dyDescent="0.25">
      <c r="A235" t="s">
        <v>508</v>
      </c>
      <c r="B235" s="11">
        <f t="shared" si="19"/>
        <v>235</v>
      </c>
      <c r="C235" s="11" t="str">
        <f t="shared" si="20"/>
        <v>I W18X235</v>
      </c>
      <c r="D235" s="5" t="s">
        <v>315</v>
      </c>
      <c r="E235" s="5" t="str">
        <f t="shared" si="21"/>
        <v>H - 501 x 288 x 20.58 x 36.58</v>
      </c>
      <c r="F235" s="25">
        <v>235.12927999999999</v>
      </c>
      <c r="G235" s="6">
        <v>501</v>
      </c>
      <c r="H235" s="6">
        <v>288</v>
      </c>
      <c r="I235" s="6">
        <v>20.580000000000002</v>
      </c>
      <c r="J235" s="6">
        <v>36.58</v>
      </c>
      <c r="K235" s="6"/>
      <c r="L235" s="6">
        <v>29870.907999999999</v>
      </c>
      <c r="N235" s="5" t="str">
        <f t="shared" si="22"/>
        <v>H - 501 x 288 x 22 x 40</v>
      </c>
      <c r="O235" s="25">
        <f t="shared" si="23"/>
        <v>253.57069999999999</v>
      </c>
      <c r="P235" s="6">
        <f t="shared" si="24"/>
        <v>501</v>
      </c>
      <c r="Q235" s="6">
        <f t="shared" si="24"/>
        <v>288</v>
      </c>
      <c r="R235" s="6" cm="1">
        <f t="array" ref="R235">IF(I235-LOOKUP(I235, $Y$4:$Y$26) &lt;= 0.1, LOOKUP(I235, $Y$4:$Y$26), MIN(_xlfn._xlws.FILTER($Y$4:$Y$26, $Y$4:$Y$26&gt;=I235)))</f>
        <v>22</v>
      </c>
      <c r="S235" s="6" cm="1">
        <f t="array" ref="S235">IF(J235-LOOKUP(J235, $Y$4:$Y$26) &lt;= 0.1, LOOKUP(J235, $Y$4:$Y$26), MIN(_xlfn._xlws.FILTER($Y$4:$Y$26, $Y$4:$Y$26&gt;=J235)))</f>
        <v>40</v>
      </c>
    </row>
    <row r="236" spans="1:19" x14ac:dyDescent="0.25">
      <c r="A236" t="s">
        <v>508</v>
      </c>
      <c r="B236" s="11">
        <f t="shared" si="19"/>
        <v>213</v>
      </c>
      <c r="C236" s="11" t="str">
        <f t="shared" si="20"/>
        <v>I W18X213</v>
      </c>
      <c r="D236" s="5" t="s">
        <v>316</v>
      </c>
      <c r="E236" s="5" t="str">
        <f t="shared" si="21"/>
        <v>H - 496 x 285 x 18.55 x 33.53</v>
      </c>
      <c r="F236" s="25">
        <v>212.80687999999998</v>
      </c>
      <c r="G236" s="6">
        <v>496</v>
      </c>
      <c r="H236" s="6">
        <v>285</v>
      </c>
      <c r="I236" s="6">
        <v>18.55</v>
      </c>
      <c r="J236" s="6">
        <v>33.53</v>
      </c>
      <c r="K236" s="6"/>
      <c r="L236" s="6">
        <v>27096.719999999998</v>
      </c>
      <c r="N236" s="5" t="str">
        <f t="shared" si="22"/>
        <v>H - 496 x 285 x 20 x 35</v>
      </c>
      <c r="O236" s="25">
        <f t="shared" si="23"/>
        <v>223.48949999999999</v>
      </c>
      <c r="P236" s="6">
        <f t="shared" si="24"/>
        <v>496</v>
      </c>
      <c r="Q236" s="6">
        <f t="shared" si="24"/>
        <v>285</v>
      </c>
      <c r="R236" s="6" cm="1">
        <f t="array" ref="R236">IF(I236-LOOKUP(I236, $Y$4:$Y$26) &lt;= 0.1, LOOKUP(I236, $Y$4:$Y$26), MIN(_xlfn._xlws.FILTER($Y$4:$Y$26, $Y$4:$Y$26&gt;=I236)))</f>
        <v>20</v>
      </c>
      <c r="S236" s="6" cm="1">
        <f t="array" ref="S236">IF(J236-LOOKUP(J236, $Y$4:$Y$26) &lt;= 0.1, LOOKUP(J236, $Y$4:$Y$26), MIN(_xlfn._xlws.FILTER($Y$4:$Y$26, $Y$4:$Y$26&gt;=J236)))</f>
        <v>35</v>
      </c>
    </row>
    <row r="237" spans="1:19" x14ac:dyDescent="0.25">
      <c r="A237" t="s">
        <v>508</v>
      </c>
      <c r="B237" s="11">
        <f t="shared" si="19"/>
        <v>193</v>
      </c>
      <c r="C237" s="11" t="str">
        <f t="shared" si="20"/>
        <v>I W18X193</v>
      </c>
      <c r="D237" s="5" t="s">
        <v>317</v>
      </c>
      <c r="E237" s="5" t="str">
        <f t="shared" si="21"/>
        <v>H - 491 x 285 x 17.02 x 30.48</v>
      </c>
      <c r="F237" s="25">
        <v>193.46079999999998</v>
      </c>
      <c r="G237" s="6">
        <v>491</v>
      </c>
      <c r="H237" s="6">
        <v>285</v>
      </c>
      <c r="I237" s="6">
        <v>17.020000000000003</v>
      </c>
      <c r="J237" s="6">
        <v>30.48</v>
      </c>
      <c r="K237" s="6"/>
      <c r="L237" s="6">
        <v>24709.627999999997</v>
      </c>
      <c r="N237" s="5" t="str">
        <f t="shared" si="22"/>
        <v>H - 491 x 285 x 18 x 32</v>
      </c>
      <c r="O237" s="25">
        <f t="shared" si="23"/>
        <v>203.51910000000001</v>
      </c>
      <c r="P237" s="6">
        <f t="shared" si="24"/>
        <v>491</v>
      </c>
      <c r="Q237" s="6">
        <f t="shared" si="24"/>
        <v>285</v>
      </c>
      <c r="R237" s="6" cm="1">
        <f t="array" ref="R237">IF(I237-LOOKUP(I237, $Y$4:$Y$26) &lt;= 0.1, LOOKUP(I237, $Y$4:$Y$26), MIN(_xlfn._xlws.FILTER($Y$4:$Y$26, $Y$4:$Y$26&gt;=I237)))</f>
        <v>18</v>
      </c>
      <c r="S237" s="6" cm="1">
        <f t="array" ref="S237">IF(J237-LOOKUP(J237, $Y$4:$Y$26) &lt;= 0.1, LOOKUP(J237, $Y$4:$Y$26), MIN(_xlfn._xlws.FILTER($Y$4:$Y$26, $Y$4:$Y$26&gt;=J237)))</f>
        <v>32</v>
      </c>
    </row>
    <row r="238" spans="1:19" x14ac:dyDescent="0.25">
      <c r="A238" t="s">
        <v>508</v>
      </c>
      <c r="B238" s="11">
        <f t="shared" si="19"/>
        <v>177</v>
      </c>
      <c r="C238" s="11" t="str">
        <f t="shared" si="20"/>
        <v>I W18X177</v>
      </c>
      <c r="D238" s="5" t="s">
        <v>318</v>
      </c>
      <c r="E238" s="5" t="str">
        <f t="shared" si="21"/>
        <v>H - 483 x 288 x 16.64 x 26.93</v>
      </c>
      <c r="F238" s="25">
        <v>177.09103999999999</v>
      </c>
      <c r="G238" s="6">
        <v>483</v>
      </c>
      <c r="H238" s="6">
        <v>288</v>
      </c>
      <c r="I238" s="6">
        <v>16.64</v>
      </c>
      <c r="J238" s="6">
        <v>26.930000000000003</v>
      </c>
      <c r="K238" s="6"/>
      <c r="L238" s="6">
        <v>22645.115999999998</v>
      </c>
      <c r="N238" s="5" t="str">
        <f t="shared" si="22"/>
        <v>H - 483 x 288 x 18 x 28</v>
      </c>
      <c r="O238" s="25">
        <f t="shared" si="23"/>
        <v>186.93989999999999</v>
      </c>
      <c r="P238" s="6">
        <f t="shared" si="24"/>
        <v>483</v>
      </c>
      <c r="Q238" s="6">
        <f t="shared" si="24"/>
        <v>288</v>
      </c>
      <c r="R238" s="6" cm="1">
        <f t="array" ref="R238">IF(I238-LOOKUP(I238, $Y$4:$Y$26) &lt;= 0.1, LOOKUP(I238, $Y$4:$Y$26), MIN(_xlfn._xlws.FILTER($Y$4:$Y$26, $Y$4:$Y$26&gt;=I238)))</f>
        <v>18</v>
      </c>
      <c r="S238" s="6" cm="1">
        <f t="array" ref="S238">IF(J238-LOOKUP(J238, $Y$4:$Y$26) &lt;= 0.1, LOOKUP(J238, $Y$4:$Y$26), MIN(_xlfn._xlws.FILTER($Y$4:$Y$26, $Y$4:$Y$26&gt;=J238)))</f>
        <v>28</v>
      </c>
    </row>
    <row r="239" spans="1:19" x14ac:dyDescent="0.25">
      <c r="A239" t="s">
        <v>508</v>
      </c>
      <c r="B239" s="11">
        <f t="shared" si="19"/>
        <v>158</v>
      </c>
      <c r="C239" s="11" t="str">
        <f t="shared" si="20"/>
        <v>I W18X158</v>
      </c>
      <c r="D239" s="5" t="s">
        <v>319</v>
      </c>
      <c r="E239" s="5" t="str">
        <f t="shared" si="21"/>
        <v>H - 475 x 285 x 14.99 x 23.88</v>
      </c>
      <c r="F239" s="25">
        <v>157.74495999999999</v>
      </c>
      <c r="G239" s="6">
        <v>475</v>
      </c>
      <c r="H239" s="6">
        <v>285</v>
      </c>
      <c r="I239" s="6">
        <v>14.99</v>
      </c>
      <c r="J239" s="6">
        <v>23.880000000000003</v>
      </c>
      <c r="K239" s="6"/>
      <c r="L239" s="6">
        <v>20064.476000000002</v>
      </c>
      <c r="N239" s="5" t="str">
        <f t="shared" si="22"/>
        <v>H - 475 x 285 x 16 x 25</v>
      </c>
      <c r="O239" s="25">
        <f t="shared" si="23"/>
        <v>165.24250000000001</v>
      </c>
      <c r="P239" s="6">
        <f t="shared" si="24"/>
        <v>475</v>
      </c>
      <c r="Q239" s="6">
        <f t="shared" si="24"/>
        <v>285</v>
      </c>
      <c r="R239" s="6" cm="1">
        <f t="array" ref="R239">IF(I239-LOOKUP(I239, $Y$4:$Y$26) &lt;= 0.1, LOOKUP(I239, $Y$4:$Y$26), MIN(_xlfn._xlws.FILTER($Y$4:$Y$26, $Y$4:$Y$26&gt;=I239)))</f>
        <v>16</v>
      </c>
      <c r="S239" s="6" cm="1">
        <f t="array" ref="S239">IF(J239-LOOKUP(J239, $Y$4:$Y$26) &lt;= 0.1, LOOKUP(J239, $Y$4:$Y$26), MIN(_xlfn._xlws.FILTER($Y$4:$Y$26, $Y$4:$Y$26&gt;=J239)))</f>
        <v>25</v>
      </c>
    </row>
    <row r="240" spans="1:19" x14ac:dyDescent="0.25">
      <c r="A240" t="s">
        <v>508</v>
      </c>
      <c r="B240" s="11">
        <f t="shared" si="19"/>
        <v>144</v>
      </c>
      <c r="C240" s="11" t="str">
        <f t="shared" si="20"/>
        <v>I W18X144</v>
      </c>
      <c r="D240" s="5" t="s">
        <v>320</v>
      </c>
      <c r="E240" s="5" t="str">
        <f t="shared" si="21"/>
        <v>H - 473 x 282 x 13.59 x 22.1</v>
      </c>
      <c r="F240" s="25">
        <v>144.35151999999999</v>
      </c>
      <c r="G240" s="6">
        <v>473</v>
      </c>
      <c r="H240" s="6">
        <v>282</v>
      </c>
      <c r="I240" s="6">
        <v>13.59</v>
      </c>
      <c r="J240" s="6">
        <v>22.1</v>
      </c>
      <c r="K240" s="6"/>
      <c r="L240" s="6">
        <v>18387.060000000001</v>
      </c>
      <c r="N240" s="5" t="str">
        <f t="shared" si="22"/>
        <v>H - 473 x 282 x 14 x 25</v>
      </c>
      <c r="O240" s="25">
        <f t="shared" si="23"/>
        <v>157.17269999999999</v>
      </c>
      <c r="P240" s="6">
        <f t="shared" si="24"/>
        <v>473</v>
      </c>
      <c r="Q240" s="6">
        <f t="shared" si="24"/>
        <v>282</v>
      </c>
      <c r="R240" s="6" cm="1">
        <f t="array" ref="R240">IF(I240-LOOKUP(I240, $Y$4:$Y$26) &lt;= 0.1, LOOKUP(I240, $Y$4:$Y$26), MIN(_xlfn._xlws.FILTER($Y$4:$Y$26, $Y$4:$Y$26&gt;=I240)))</f>
        <v>14</v>
      </c>
      <c r="S240" s="6" cm="1">
        <f t="array" ref="S240">IF(J240-LOOKUP(J240, $Y$4:$Y$26) &lt;= 0.1, LOOKUP(J240, $Y$4:$Y$26), MIN(_xlfn._xlws.FILTER($Y$4:$Y$26, $Y$4:$Y$26&gt;=J240)))</f>
        <v>25</v>
      </c>
    </row>
    <row r="241" spans="1:19" x14ac:dyDescent="0.25">
      <c r="A241" t="s">
        <v>508</v>
      </c>
      <c r="B241" s="11">
        <f t="shared" si="19"/>
        <v>128</v>
      </c>
      <c r="C241" s="11" t="str">
        <f t="shared" si="20"/>
        <v>I W18X128</v>
      </c>
      <c r="D241" s="5" t="s">
        <v>321</v>
      </c>
      <c r="E241" s="5" t="str">
        <f t="shared" si="21"/>
        <v>H - 468 x 282 x 12.2 x 19.56</v>
      </c>
      <c r="F241" s="25">
        <v>127.98175999999999</v>
      </c>
      <c r="G241" s="6">
        <v>468</v>
      </c>
      <c r="H241" s="6">
        <v>282</v>
      </c>
      <c r="I241" s="6">
        <v>12.2</v>
      </c>
      <c r="J241" s="6">
        <v>19.560000000000002</v>
      </c>
      <c r="K241" s="6"/>
      <c r="L241" s="6">
        <v>16322.547999999999</v>
      </c>
      <c r="N241" s="5" t="str">
        <f t="shared" si="22"/>
        <v>H - 468 x 282 x 14 x 20</v>
      </c>
      <c r="O241" s="25">
        <f t="shared" si="23"/>
        <v>135.58519999999999</v>
      </c>
      <c r="P241" s="6">
        <f t="shared" si="24"/>
        <v>468</v>
      </c>
      <c r="Q241" s="6">
        <f t="shared" si="24"/>
        <v>282</v>
      </c>
      <c r="R241" s="6" cm="1">
        <f t="array" ref="R241">IF(I241-LOOKUP(I241, $Y$4:$Y$26) &lt;= 0.1, LOOKUP(I241, $Y$4:$Y$26), MIN(_xlfn._xlws.FILTER($Y$4:$Y$26, $Y$4:$Y$26&gt;=I241)))</f>
        <v>14</v>
      </c>
      <c r="S241" s="6" cm="1">
        <f t="array" ref="S241">IF(J241-LOOKUP(J241, $Y$4:$Y$26) &lt;= 0.1, LOOKUP(J241, $Y$4:$Y$26), MIN(_xlfn._xlws.FILTER($Y$4:$Y$26, $Y$4:$Y$26&gt;=J241)))</f>
        <v>20</v>
      </c>
    </row>
    <row r="242" spans="1:19" x14ac:dyDescent="0.25">
      <c r="A242" t="s">
        <v>508</v>
      </c>
      <c r="B242" s="11">
        <f t="shared" si="19"/>
        <v>113</v>
      </c>
      <c r="C242" s="11" t="str">
        <f t="shared" si="20"/>
        <v>I W18X113</v>
      </c>
      <c r="D242" s="5" t="s">
        <v>322</v>
      </c>
      <c r="E242" s="5" t="str">
        <f t="shared" si="21"/>
        <v>H - 463 x 280 x 10.8 x 17.28</v>
      </c>
      <c r="F242" s="25">
        <v>113.10015999999999</v>
      </c>
      <c r="G242" s="6">
        <v>463</v>
      </c>
      <c r="H242" s="6">
        <v>280</v>
      </c>
      <c r="I242" s="6">
        <v>10.799999999999999</v>
      </c>
      <c r="J242" s="6">
        <v>17.28</v>
      </c>
      <c r="K242" s="6"/>
      <c r="L242" s="6">
        <v>14387.067999999999</v>
      </c>
      <c r="N242" s="5" t="str">
        <f t="shared" si="22"/>
        <v>H - 463 x 280 x 12 x 18</v>
      </c>
      <c r="O242" s="25">
        <f t="shared" si="23"/>
        <v>119.3514</v>
      </c>
      <c r="P242" s="6">
        <f t="shared" si="24"/>
        <v>463</v>
      </c>
      <c r="Q242" s="6">
        <f t="shared" si="24"/>
        <v>280</v>
      </c>
      <c r="R242" s="6" cm="1">
        <f t="array" ref="R242">IF(I242-LOOKUP(I242, $Y$4:$Y$26) &lt;= 0.1, LOOKUP(I242, $Y$4:$Y$26), MIN(_xlfn._xlws.FILTER($Y$4:$Y$26, $Y$4:$Y$26&gt;=I242)))</f>
        <v>12</v>
      </c>
      <c r="S242" s="6" cm="1">
        <f t="array" ref="S242">IF(J242-LOOKUP(J242, $Y$4:$Y$26) &lt;= 0.1, LOOKUP(J242, $Y$4:$Y$26), MIN(_xlfn._xlws.FILTER($Y$4:$Y$26, $Y$4:$Y$26&gt;=J242)))</f>
        <v>18</v>
      </c>
    </row>
    <row r="243" spans="1:19" x14ac:dyDescent="0.25">
      <c r="A243" t="s">
        <v>508</v>
      </c>
      <c r="B243" s="11">
        <f t="shared" si="19"/>
        <v>106</v>
      </c>
      <c r="C243" s="11" t="str">
        <f t="shared" si="20"/>
        <v>I W18X106</v>
      </c>
      <c r="D243" s="5" t="s">
        <v>323</v>
      </c>
      <c r="E243" s="5" t="str">
        <f t="shared" si="21"/>
        <v>I - 470 x 195 x 12.58 x 20.58</v>
      </c>
      <c r="F243" s="25">
        <v>105.65935999999999</v>
      </c>
      <c r="G243" s="6">
        <v>470</v>
      </c>
      <c r="H243" s="6">
        <v>195</v>
      </c>
      <c r="I243" s="6">
        <v>12.58</v>
      </c>
      <c r="J243" s="6">
        <v>20.580000000000002</v>
      </c>
      <c r="K243" s="6"/>
      <c r="L243" s="6">
        <v>13483.843999999999</v>
      </c>
      <c r="N243" s="5" t="str">
        <f t="shared" si="22"/>
        <v>I - 470 x 195 x 14 x 22</v>
      </c>
      <c r="O243" s="25">
        <f t="shared" si="23"/>
        <v>114.1704</v>
      </c>
      <c r="P243" s="6">
        <f t="shared" si="24"/>
        <v>470</v>
      </c>
      <c r="Q243" s="6">
        <f t="shared" si="24"/>
        <v>195</v>
      </c>
      <c r="R243" s="6" cm="1">
        <f t="array" ref="R243">IF(I243-LOOKUP(I243, $Y$4:$Y$26) &lt;= 0.1, LOOKUP(I243, $Y$4:$Y$26), MIN(_xlfn._xlws.FILTER($Y$4:$Y$26, $Y$4:$Y$26&gt;=I243)))</f>
        <v>14</v>
      </c>
      <c r="S243" s="6" cm="1">
        <f t="array" ref="S243">IF(J243-LOOKUP(J243, $Y$4:$Y$26) &lt;= 0.1, LOOKUP(J243, $Y$4:$Y$26), MIN(_xlfn._xlws.FILTER($Y$4:$Y$26, $Y$4:$Y$26&gt;=J243)))</f>
        <v>22</v>
      </c>
    </row>
    <row r="244" spans="1:19" x14ac:dyDescent="0.25">
      <c r="A244" t="s">
        <v>508</v>
      </c>
      <c r="B244" s="11">
        <f t="shared" si="19"/>
        <v>97</v>
      </c>
      <c r="C244" s="11" t="str">
        <f t="shared" si="20"/>
        <v>I W18X97</v>
      </c>
      <c r="D244" s="5" t="s">
        <v>324</v>
      </c>
      <c r="E244" s="5" t="str">
        <f t="shared" si="21"/>
        <v>I - 468 x 193 x 11.43 x 19.05</v>
      </c>
      <c r="F244" s="25">
        <v>96.730399999999989</v>
      </c>
      <c r="G244" s="6">
        <v>468</v>
      </c>
      <c r="H244" s="6">
        <v>193</v>
      </c>
      <c r="I244" s="6">
        <v>11.43</v>
      </c>
      <c r="J244" s="6">
        <v>19.05</v>
      </c>
      <c r="K244" s="6"/>
      <c r="L244" s="6">
        <v>12322.556</v>
      </c>
      <c r="N244" s="5" t="str">
        <f t="shared" si="22"/>
        <v>I - 468 x 193 x 12 x 20</v>
      </c>
      <c r="O244" s="25">
        <f t="shared" si="23"/>
        <v>100.9196</v>
      </c>
      <c r="P244" s="6">
        <f t="shared" si="24"/>
        <v>468</v>
      </c>
      <c r="Q244" s="6">
        <f t="shared" si="24"/>
        <v>193</v>
      </c>
      <c r="R244" s="6" cm="1">
        <f t="array" ref="R244">IF(I244-LOOKUP(I244, $Y$4:$Y$26) &lt;= 0.1, LOOKUP(I244, $Y$4:$Y$26), MIN(_xlfn._xlws.FILTER($Y$4:$Y$26, $Y$4:$Y$26&gt;=I244)))</f>
        <v>12</v>
      </c>
      <c r="S244" s="6" cm="1">
        <f t="array" ref="S244">IF(J244-LOOKUP(J244, $Y$4:$Y$26) &lt;= 0.1, LOOKUP(J244, $Y$4:$Y$26), MIN(_xlfn._xlws.FILTER($Y$4:$Y$26, $Y$4:$Y$26&gt;=J244)))</f>
        <v>20</v>
      </c>
    </row>
    <row r="245" spans="1:19" x14ac:dyDescent="0.25">
      <c r="A245" t="s">
        <v>508</v>
      </c>
      <c r="B245" s="11">
        <f t="shared" si="19"/>
        <v>89</v>
      </c>
      <c r="C245" s="11" t="str">
        <f t="shared" si="20"/>
        <v>I W18X89</v>
      </c>
      <c r="D245" s="5" t="s">
        <v>325</v>
      </c>
      <c r="E245" s="5" t="str">
        <f t="shared" si="21"/>
        <v>I - 463 x 193 x 10.55 x 17.66</v>
      </c>
      <c r="F245" s="25">
        <v>89.289599999999993</v>
      </c>
      <c r="G245" s="6">
        <v>463</v>
      </c>
      <c r="H245" s="6">
        <v>193</v>
      </c>
      <c r="I245" s="6">
        <v>10.549999999999999</v>
      </c>
      <c r="J245" s="6">
        <v>17.66</v>
      </c>
      <c r="K245" s="6"/>
      <c r="L245" s="6">
        <v>11354.816000000001</v>
      </c>
      <c r="N245" s="5" t="str">
        <f t="shared" si="22"/>
        <v>I - 463 x 193 x 12 x 18</v>
      </c>
      <c r="O245" s="25">
        <f t="shared" si="23"/>
        <v>94.765199999999993</v>
      </c>
      <c r="P245" s="6">
        <f t="shared" si="24"/>
        <v>463</v>
      </c>
      <c r="Q245" s="6">
        <f t="shared" si="24"/>
        <v>193</v>
      </c>
      <c r="R245" s="6" cm="1">
        <f t="array" ref="R245">IF(I245-LOOKUP(I245, $Y$4:$Y$26) &lt;= 0.1, LOOKUP(I245, $Y$4:$Y$26), MIN(_xlfn._xlws.FILTER($Y$4:$Y$26, $Y$4:$Y$26&gt;=I245)))</f>
        <v>12</v>
      </c>
      <c r="S245" s="6" cm="1">
        <f t="array" ref="S245">IF(J245-LOOKUP(J245, $Y$4:$Y$26) &lt;= 0.1, LOOKUP(J245, $Y$4:$Y$26), MIN(_xlfn._xlws.FILTER($Y$4:$Y$26, $Y$4:$Y$26&gt;=J245)))</f>
        <v>18</v>
      </c>
    </row>
    <row r="246" spans="1:19" x14ac:dyDescent="0.25">
      <c r="A246" t="s">
        <v>508</v>
      </c>
      <c r="B246" s="11">
        <f t="shared" si="19"/>
        <v>82</v>
      </c>
      <c r="C246" s="11" t="str">
        <f t="shared" si="20"/>
        <v>I W18X82</v>
      </c>
      <c r="D246" s="5" t="s">
        <v>326</v>
      </c>
      <c r="E246" s="5" t="str">
        <f t="shared" si="21"/>
        <v>I - 460 x 192 x 9.91 x 16.01</v>
      </c>
      <c r="F246" s="25">
        <v>81.848799999999997</v>
      </c>
      <c r="G246" s="6">
        <v>460</v>
      </c>
      <c r="H246" s="6">
        <v>192</v>
      </c>
      <c r="I246" s="6">
        <v>9.91</v>
      </c>
      <c r="J246" s="6">
        <v>16.010000000000002</v>
      </c>
      <c r="K246" s="6"/>
      <c r="L246" s="6">
        <v>10451.591999999999</v>
      </c>
      <c r="N246" s="5" t="str">
        <f t="shared" si="22"/>
        <v>I - 460 x 192 x 10 x 16</v>
      </c>
      <c r="O246" s="25">
        <f t="shared" si="23"/>
        <v>81.828400000000002</v>
      </c>
      <c r="P246" s="6">
        <f t="shared" si="24"/>
        <v>460</v>
      </c>
      <c r="Q246" s="6">
        <f t="shared" si="24"/>
        <v>192</v>
      </c>
      <c r="R246" s="6" cm="1">
        <f t="array" ref="R246">IF(I246-LOOKUP(I246, $Y$4:$Y$26) &lt;= 0.1, LOOKUP(I246, $Y$4:$Y$26), MIN(_xlfn._xlws.FILTER($Y$4:$Y$26, $Y$4:$Y$26&gt;=I246)))</f>
        <v>10</v>
      </c>
      <c r="S246" s="6" cm="1">
        <f t="array" ref="S246">IF(J246-LOOKUP(J246, $Y$4:$Y$26) &lt;= 0.1, LOOKUP(J246, $Y$4:$Y$26), MIN(_xlfn._xlws.FILTER($Y$4:$Y$26, $Y$4:$Y$26&gt;=J246)))</f>
        <v>16</v>
      </c>
    </row>
    <row r="247" spans="1:19" x14ac:dyDescent="0.25">
      <c r="A247" t="s">
        <v>508</v>
      </c>
      <c r="B247" s="11">
        <f t="shared" si="19"/>
        <v>74</v>
      </c>
      <c r="C247" s="11" t="str">
        <f t="shared" si="20"/>
        <v>I W18X74</v>
      </c>
      <c r="D247" s="5" t="s">
        <v>327</v>
      </c>
      <c r="E247" s="5" t="str">
        <f t="shared" si="21"/>
        <v>I - 458 x 191 x 9.02 x 14.48</v>
      </c>
      <c r="F247" s="25">
        <v>74.408000000000001</v>
      </c>
      <c r="G247" s="6">
        <v>458</v>
      </c>
      <c r="H247" s="6">
        <v>191</v>
      </c>
      <c r="I247" s="6">
        <v>9.02</v>
      </c>
      <c r="J247" s="6">
        <v>14.48</v>
      </c>
      <c r="K247" s="6"/>
      <c r="L247" s="6">
        <v>9483.851999999999</v>
      </c>
      <c r="N247" s="5" t="str">
        <f t="shared" si="22"/>
        <v>I - 458 x 191 x 10 x 16</v>
      </c>
      <c r="O247" s="25">
        <f t="shared" si="23"/>
        <v>81.420199999999994</v>
      </c>
      <c r="P247" s="6">
        <f t="shared" si="24"/>
        <v>458</v>
      </c>
      <c r="Q247" s="6">
        <f t="shared" si="24"/>
        <v>191</v>
      </c>
      <c r="R247" s="6" cm="1">
        <f t="array" ref="R247">IF(I247-LOOKUP(I247, $Y$4:$Y$26) &lt;= 0.1, LOOKUP(I247, $Y$4:$Y$26), MIN(_xlfn._xlws.FILTER($Y$4:$Y$26, $Y$4:$Y$26&gt;=I247)))</f>
        <v>10</v>
      </c>
      <c r="S247" s="6" cm="1">
        <f t="array" ref="S247">IF(J247-LOOKUP(J247, $Y$4:$Y$26) &lt;= 0.1, LOOKUP(J247, $Y$4:$Y$26), MIN(_xlfn._xlws.FILTER($Y$4:$Y$26, $Y$4:$Y$26&gt;=J247)))</f>
        <v>16</v>
      </c>
    </row>
    <row r="248" spans="1:19" x14ac:dyDescent="0.25">
      <c r="A248" t="s">
        <v>508</v>
      </c>
      <c r="B248" s="11">
        <f t="shared" si="19"/>
        <v>68</v>
      </c>
      <c r="C248" s="11" t="str">
        <f t="shared" si="20"/>
        <v>I W18X68</v>
      </c>
      <c r="D248" s="5" t="s">
        <v>328</v>
      </c>
      <c r="E248" s="5" t="str">
        <f t="shared" si="21"/>
        <v>I - 460 x 154 x 9.15 x 15.37</v>
      </c>
      <c r="F248" s="25">
        <v>68.455359999999999</v>
      </c>
      <c r="G248" s="6">
        <v>460</v>
      </c>
      <c r="H248" s="6">
        <v>154</v>
      </c>
      <c r="I248" s="6">
        <v>9.15</v>
      </c>
      <c r="J248" s="6">
        <v>15.37</v>
      </c>
      <c r="K248" s="6"/>
      <c r="L248" s="6">
        <v>8709.66</v>
      </c>
      <c r="N248" s="5" t="str">
        <f t="shared" si="22"/>
        <v>I - 460 x 154 x 10 x 16</v>
      </c>
      <c r="O248" s="25">
        <f t="shared" si="23"/>
        <v>72.282799999999995</v>
      </c>
      <c r="P248" s="6">
        <f t="shared" si="24"/>
        <v>460</v>
      </c>
      <c r="Q248" s="6">
        <f t="shared" si="24"/>
        <v>154</v>
      </c>
      <c r="R248" s="6" cm="1">
        <f t="array" ref="R248">IF(I248-LOOKUP(I248, $Y$4:$Y$26) &lt;= 0.1, LOOKUP(I248, $Y$4:$Y$26), MIN(_xlfn._xlws.FILTER($Y$4:$Y$26, $Y$4:$Y$26&gt;=I248)))</f>
        <v>10</v>
      </c>
      <c r="S248" s="6" cm="1">
        <f t="array" ref="S248">IF(J248-LOOKUP(J248, $Y$4:$Y$26) &lt;= 0.1, LOOKUP(J248, $Y$4:$Y$26), MIN(_xlfn._xlws.FILTER($Y$4:$Y$26, $Y$4:$Y$26&gt;=J248)))</f>
        <v>16</v>
      </c>
    </row>
    <row r="249" spans="1:19" x14ac:dyDescent="0.25">
      <c r="A249" t="s">
        <v>508</v>
      </c>
      <c r="B249" s="11">
        <f t="shared" si="19"/>
        <v>60</v>
      </c>
      <c r="C249" s="11" t="str">
        <f t="shared" si="20"/>
        <v>I W18X60</v>
      </c>
      <c r="D249" s="5" t="s">
        <v>329</v>
      </c>
      <c r="E249" s="5" t="str">
        <f t="shared" si="21"/>
        <v>I - 455 x 153 x 8.01 x 13.34</v>
      </c>
      <c r="F249" s="25">
        <v>59.526399999999995</v>
      </c>
      <c r="G249" s="6">
        <v>455</v>
      </c>
      <c r="H249" s="6">
        <v>153</v>
      </c>
      <c r="I249" s="6">
        <v>8.01</v>
      </c>
      <c r="J249" s="6">
        <v>13.34</v>
      </c>
      <c r="K249" s="6"/>
      <c r="L249" s="6">
        <v>7612.8879999999999</v>
      </c>
      <c r="N249" s="5" t="str">
        <f t="shared" si="22"/>
        <v>I - 455 x 153 x 8 x 14</v>
      </c>
      <c r="O249" s="25">
        <f t="shared" si="23"/>
        <v>60.445</v>
      </c>
      <c r="P249" s="6">
        <f t="shared" si="24"/>
        <v>455</v>
      </c>
      <c r="Q249" s="6">
        <f t="shared" si="24"/>
        <v>153</v>
      </c>
      <c r="R249" s="6" cm="1">
        <f t="array" ref="R249">IF(I249-LOOKUP(I249, $Y$4:$Y$26) &lt;= 0.1, LOOKUP(I249, $Y$4:$Y$26), MIN(_xlfn._xlws.FILTER($Y$4:$Y$26, $Y$4:$Y$26&gt;=I249)))</f>
        <v>8</v>
      </c>
      <c r="S249" s="6" cm="1">
        <f t="array" ref="S249">IF(J249-LOOKUP(J249, $Y$4:$Y$26) &lt;= 0.1, LOOKUP(J249, $Y$4:$Y$26), MIN(_xlfn._xlws.FILTER($Y$4:$Y$26, $Y$4:$Y$26&gt;=J249)))</f>
        <v>14</v>
      </c>
    </row>
    <row r="250" spans="1:19" x14ac:dyDescent="0.25">
      <c r="A250" t="s">
        <v>508</v>
      </c>
      <c r="B250" s="11">
        <f t="shared" si="19"/>
        <v>52</v>
      </c>
      <c r="C250" s="11" t="str">
        <f t="shared" si="20"/>
        <v>I W18X52</v>
      </c>
      <c r="D250" s="5" t="s">
        <v>330</v>
      </c>
      <c r="E250" s="5" t="str">
        <f t="shared" si="21"/>
        <v>I - 450 x 153 x 7.62 x 10.8</v>
      </c>
      <c r="F250" s="25">
        <v>52.085599999999999</v>
      </c>
      <c r="G250" s="6">
        <v>450</v>
      </c>
      <c r="H250" s="6">
        <v>153</v>
      </c>
      <c r="I250" s="6">
        <v>7.62</v>
      </c>
      <c r="J250" s="6">
        <v>10.799999999999999</v>
      </c>
      <c r="K250" s="6"/>
      <c r="L250" s="6">
        <v>6645.1480000000001</v>
      </c>
      <c r="N250" s="5" t="str">
        <f t="shared" si="22"/>
        <v>I - 450 x 153 x 8 x 12</v>
      </c>
      <c r="O250" s="25">
        <f t="shared" si="23"/>
        <v>55.578000000000003</v>
      </c>
      <c r="P250" s="6">
        <f t="shared" si="24"/>
        <v>450</v>
      </c>
      <c r="Q250" s="6">
        <f t="shared" si="24"/>
        <v>153</v>
      </c>
      <c r="R250" s="6" cm="1">
        <f t="array" ref="R250">IF(I250-LOOKUP(I250, $Y$4:$Y$26) &lt;= 0.1, LOOKUP(I250, $Y$4:$Y$26), MIN(_xlfn._xlws.FILTER($Y$4:$Y$26, $Y$4:$Y$26&gt;=I250)))</f>
        <v>8</v>
      </c>
      <c r="S250" s="6" cm="1">
        <f t="array" ref="S250">IF(J250-LOOKUP(J250, $Y$4:$Y$26) &lt;= 0.1, LOOKUP(J250, $Y$4:$Y$26), MIN(_xlfn._xlws.FILTER($Y$4:$Y$26, $Y$4:$Y$26&gt;=J250)))</f>
        <v>12</v>
      </c>
    </row>
    <row r="251" spans="1:19" x14ac:dyDescent="0.25">
      <c r="A251" t="s">
        <v>509</v>
      </c>
      <c r="B251" s="11">
        <f t="shared" si="19"/>
        <v>149</v>
      </c>
      <c r="C251" s="11" t="str">
        <f t="shared" si="20"/>
        <v>I W16X149</v>
      </c>
      <c r="D251" s="5" t="s">
        <v>331</v>
      </c>
      <c r="E251" s="5" t="str">
        <f t="shared" si="21"/>
        <v>H - 432 x 265 x 14.86 x 25.02</v>
      </c>
      <c r="F251" s="25">
        <v>148.816</v>
      </c>
      <c r="G251" s="6">
        <v>432</v>
      </c>
      <c r="H251" s="6">
        <v>265</v>
      </c>
      <c r="I251" s="6">
        <v>14.86</v>
      </c>
      <c r="J251" s="6">
        <v>25.020000000000003</v>
      </c>
      <c r="K251" s="6"/>
      <c r="L251" s="6">
        <v>18967.703999999998</v>
      </c>
      <c r="N251" s="5" t="str">
        <f t="shared" si="22"/>
        <v>H - 432 x 265 x 16 x 25</v>
      </c>
      <c r="O251" s="25">
        <f t="shared" si="23"/>
        <v>151.99170000000001</v>
      </c>
      <c r="P251" s="6">
        <f t="shared" si="24"/>
        <v>432</v>
      </c>
      <c r="Q251" s="6">
        <f t="shared" si="24"/>
        <v>265</v>
      </c>
      <c r="R251" s="6" cm="1">
        <f t="array" ref="R251">IF(I251-LOOKUP(I251, $Y$4:$Y$26) &lt;= 0.1, LOOKUP(I251, $Y$4:$Y$26), MIN(_xlfn._xlws.FILTER($Y$4:$Y$26, $Y$4:$Y$26&gt;=I251)))</f>
        <v>16</v>
      </c>
      <c r="S251" s="6" cm="1">
        <f t="array" ref="S251">IF(J251-LOOKUP(J251, $Y$4:$Y$26) &lt;= 0.1, LOOKUP(J251, $Y$4:$Y$26), MIN(_xlfn._xlws.FILTER($Y$4:$Y$26, $Y$4:$Y$26&gt;=J251)))</f>
        <v>25</v>
      </c>
    </row>
    <row r="252" spans="1:19" x14ac:dyDescent="0.25">
      <c r="A252" t="s">
        <v>509</v>
      </c>
      <c r="B252" s="11">
        <f t="shared" si="19"/>
        <v>132</v>
      </c>
      <c r="C252" s="11" t="str">
        <f t="shared" si="20"/>
        <v>I W16X132</v>
      </c>
      <c r="D252" s="5" t="s">
        <v>332</v>
      </c>
      <c r="E252" s="5" t="str">
        <f t="shared" si="21"/>
        <v>H - 427 x 265 x 13.34 x 22.23</v>
      </c>
      <c r="F252" s="25">
        <v>132.44623999999999</v>
      </c>
      <c r="G252" s="6">
        <v>427</v>
      </c>
      <c r="H252" s="6">
        <v>265</v>
      </c>
      <c r="I252" s="6">
        <v>13.34</v>
      </c>
      <c r="J252" s="6">
        <v>22.23</v>
      </c>
      <c r="K252" s="6"/>
      <c r="L252" s="6">
        <v>16903.191999999999</v>
      </c>
      <c r="N252" s="5" t="str">
        <f t="shared" si="22"/>
        <v>H - 427 x 265 x 14 x 25</v>
      </c>
      <c r="O252" s="25">
        <f t="shared" si="23"/>
        <v>145.44479999999999</v>
      </c>
      <c r="P252" s="6">
        <f t="shared" si="24"/>
        <v>427</v>
      </c>
      <c r="Q252" s="6">
        <f t="shared" si="24"/>
        <v>265</v>
      </c>
      <c r="R252" s="6" cm="1">
        <f t="array" ref="R252">IF(I252-LOOKUP(I252, $Y$4:$Y$26) &lt;= 0.1, LOOKUP(I252, $Y$4:$Y$26), MIN(_xlfn._xlws.FILTER($Y$4:$Y$26, $Y$4:$Y$26&gt;=I252)))</f>
        <v>14</v>
      </c>
      <c r="S252" s="6" cm="1">
        <f t="array" ref="S252">IF(J252-LOOKUP(J252, $Y$4:$Y$26) &lt;= 0.1, LOOKUP(J252, $Y$4:$Y$26), MIN(_xlfn._xlws.FILTER($Y$4:$Y$26, $Y$4:$Y$26&gt;=J252)))</f>
        <v>25</v>
      </c>
    </row>
    <row r="253" spans="1:19" x14ac:dyDescent="0.25">
      <c r="A253" t="s">
        <v>509</v>
      </c>
      <c r="B253" s="11">
        <f t="shared" si="19"/>
        <v>115</v>
      </c>
      <c r="C253" s="11" t="str">
        <f t="shared" si="20"/>
        <v>I W16X115</v>
      </c>
      <c r="D253" s="5" t="s">
        <v>333</v>
      </c>
      <c r="E253" s="5" t="str">
        <f t="shared" si="21"/>
        <v>H - 420 x 262 x 11.56 x 19.31</v>
      </c>
      <c r="F253" s="25">
        <v>114.58832</v>
      </c>
      <c r="G253" s="6">
        <v>420</v>
      </c>
      <c r="H253" s="6">
        <v>262</v>
      </c>
      <c r="I253" s="6">
        <v>11.56</v>
      </c>
      <c r="J253" s="6">
        <v>19.310000000000002</v>
      </c>
      <c r="K253" s="6"/>
      <c r="L253" s="6">
        <v>14580.616000000002</v>
      </c>
      <c r="N253" s="5" t="str">
        <f t="shared" si="22"/>
        <v>H - 420 x 262 x 12 x 20</v>
      </c>
      <c r="O253" s="25">
        <f t="shared" si="23"/>
        <v>118.06399999999999</v>
      </c>
      <c r="P253" s="6">
        <f t="shared" si="24"/>
        <v>420</v>
      </c>
      <c r="Q253" s="6">
        <f t="shared" si="24"/>
        <v>262</v>
      </c>
      <c r="R253" s="6" cm="1">
        <f t="array" ref="R253">IF(I253-LOOKUP(I253, $Y$4:$Y$26) &lt;= 0.1, LOOKUP(I253, $Y$4:$Y$26), MIN(_xlfn._xlws.FILTER($Y$4:$Y$26, $Y$4:$Y$26&gt;=I253)))</f>
        <v>12</v>
      </c>
      <c r="S253" s="6" cm="1">
        <f t="array" ref="S253">IF(J253-LOOKUP(J253, $Y$4:$Y$26) &lt;= 0.1, LOOKUP(J253, $Y$4:$Y$26), MIN(_xlfn._xlws.FILTER($Y$4:$Y$26, $Y$4:$Y$26&gt;=J253)))</f>
        <v>20</v>
      </c>
    </row>
    <row r="254" spans="1:19" x14ac:dyDescent="0.25">
      <c r="A254" t="s">
        <v>509</v>
      </c>
      <c r="B254" s="11">
        <f t="shared" si="19"/>
        <v>100</v>
      </c>
      <c r="C254" s="11" t="str">
        <f t="shared" si="20"/>
        <v>I W16X100</v>
      </c>
      <c r="D254" s="5" t="s">
        <v>334</v>
      </c>
      <c r="E254" s="5" t="str">
        <f t="shared" si="21"/>
        <v>H - 415 x 260 x 10.04 x 16.9</v>
      </c>
      <c r="F254" s="25">
        <v>99.70671999999999</v>
      </c>
      <c r="G254" s="6">
        <v>415</v>
      </c>
      <c r="H254" s="6">
        <v>260</v>
      </c>
      <c r="I254" s="6">
        <v>10.039999999999999</v>
      </c>
      <c r="J254" s="6">
        <v>16.900000000000002</v>
      </c>
      <c r="K254" s="6"/>
      <c r="L254" s="6">
        <v>12645.136</v>
      </c>
      <c r="N254" s="5" t="str">
        <f t="shared" si="22"/>
        <v>H - 415 x 260 x 10 x 18</v>
      </c>
      <c r="O254" s="25">
        <f t="shared" si="23"/>
        <v>103.22750000000001</v>
      </c>
      <c r="P254" s="6">
        <f t="shared" si="24"/>
        <v>415</v>
      </c>
      <c r="Q254" s="6">
        <f t="shared" si="24"/>
        <v>260</v>
      </c>
      <c r="R254" s="6" cm="1">
        <f t="array" ref="R254">IF(I254-LOOKUP(I254, $Y$4:$Y$26) &lt;= 0.1, LOOKUP(I254, $Y$4:$Y$26), MIN(_xlfn._xlws.FILTER($Y$4:$Y$26, $Y$4:$Y$26&gt;=I254)))</f>
        <v>10</v>
      </c>
      <c r="S254" s="6" cm="1">
        <f t="array" ref="S254">IF(J254-LOOKUP(J254, $Y$4:$Y$26) &lt;= 0.1, LOOKUP(J254, $Y$4:$Y$26), MIN(_xlfn._xlws.FILTER($Y$4:$Y$26, $Y$4:$Y$26&gt;=J254)))</f>
        <v>18</v>
      </c>
    </row>
    <row r="255" spans="1:19" x14ac:dyDescent="0.25">
      <c r="A255" t="s">
        <v>509</v>
      </c>
      <c r="B255" s="11">
        <f t="shared" si="19"/>
        <v>85</v>
      </c>
      <c r="C255" s="11" t="str">
        <f t="shared" si="20"/>
        <v>I W16X85</v>
      </c>
      <c r="D255" s="5" t="s">
        <v>335</v>
      </c>
      <c r="E255" s="5" t="str">
        <f t="shared" si="21"/>
        <v>I - 417 x 181 x 10.93 x 18.17</v>
      </c>
      <c r="F255" s="25">
        <v>84.825119999999998</v>
      </c>
      <c r="G255" s="6">
        <v>417</v>
      </c>
      <c r="H255" s="6">
        <v>181</v>
      </c>
      <c r="I255" s="6">
        <v>10.93</v>
      </c>
      <c r="J255" s="6">
        <v>18.170000000000002</v>
      </c>
      <c r="K255" s="6"/>
      <c r="L255" s="6">
        <v>10838.688</v>
      </c>
      <c r="N255" s="5" t="str">
        <f t="shared" si="22"/>
        <v>I - 417 x 181 x 12 x 20</v>
      </c>
      <c r="O255" s="25">
        <f t="shared" si="23"/>
        <v>92.347399999999993</v>
      </c>
      <c r="P255" s="6">
        <f t="shared" si="24"/>
        <v>417</v>
      </c>
      <c r="Q255" s="6">
        <f t="shared" si="24"/>
        <v>181</v>
      </c>
      <c r="R255" s="6" cm="1">
        <f t="array" ref="R255">IF(I255-LOOKUP(I255, $Y$4:$Y$26) &lt;= 0.1, LOOKUP(I255, $Y$4:$Y$26), MIN(_xlfn._xlws.FILTER($Y$4:$Y$26, $Y$4:$Y$26&gt;=I255)))</f>
        <v>12</v>
      </c>
      <c r="S255" s="6" cm="1">
        <f t="array" ref="S255">IF(J255-LOOKUP(J255, $Y$4:$Y$26) &lt;= 0.1, LOOKUP(J255, $Y$4:$Y$26), MIN(_xlfn._xlws.FILTER($Y$4:$Y$26, $Y$4:$Y$26&gt;=J255)))</f>
        <v>20</v>
      </c>
    </row>
    <row r="256" spans="1:19" x14ac:dyDescent="0.25">
      <c r="A256" t="s">
        <v>509</v>
      </c>
      <c r="B256" s="11">
        <f t="shared" si="19"/>
        <v>74</v>
      </c>
      <c r="C256" s="11" t="str">
        <f t="shared" si="20"/>
        <v>I W16X74</v>
      </c>
      <c r="D256" s="5" t="s">
        <v>336</v>
      </c>
      <c r="E256" s="5" t="str">
        <f t="shared" si="21"/>
        <v>I - 415 x 180 x 9.66 x 16.01</v>
      </c>
      <c r="F256" s="25">
        <v>74.408000000000001</v>
      </c>
      <c r="G256" s="6">
        <v>415</v>
      </c>
      <c r="H256" s="6">
        <v>180</v>
      </c>
      <c r="I256" s="6">
        <v>9.66</v>
      </c>
      <c r="J256" s="6">
        <v>16.010000000000002</v>
      </c>
      <c r="K256" s="6"/>
      <c r="L256" s="6">
        <v>9483.851999999999</v>
      </c>
      <c r="N256" s="5" t="str">
        <f t="shared" si="22"/>
        <v>I - 415 x 180 x 10 x 16</v>
      </c>
      <c r="O256" s="25">
        <f t="shared" si="23"/>
        <v>75.281499999999994</v>
      </c>
      <c r="P256" s="6">
        <f t="shared" si="24"/>
        <v>415</v>
      </c>
      <c r="Q256" s="6">
        <f t="shared" si="24"/>
        <v>180</v>
      </c>
      <c r="R256" s="6" cm="1">
        <f t="array" ref="R256">IF(I256-LOOKUP(I256, $Y$4:$Y$26) &lt;= 0.1, LOOKUP(I256, $Y$4:$Y$26), MIN(_xlfn._xlws.FILTER($Y$4:$Y$26, $Y$4:$Y$26&gt;=I256)))</f>
        <v>10</v>
      </c>
      <c r="S256" s="6" cm="1">
        <f t="array" ref="S256">IF(J256-LOOKUP(J256, $Y$4:$Y$26) &lt;= 0.1, LOOKUP(J256, $Y$4:$Y$26), MIN(_xlfn._xlws.FILTER($Y$4:$Y$26, $Y$4:$Y$26&gt;=J256)))</f>
        <v>16</v>
      </c>
    </row>
    <row r="257" spans="1:19" x14ac:dyDescent="0.25">
      <c r="A257" t="s">
        <v>509</v>
      </c>
      <c r="B257" s="11">
        <f t="shared" si="19"/>
        <v>67</v>
      </c>
      <c r="C257" s="11" t="str">
        <f t="shared" si="20"/>
        <v>I W16X67</v>
      </c>
      <c r="D257" s="5" t="s">
        <v>337</v>
      </c>
      <c r="E257" s="5" t="str">
        <f t="shared" si="21"/>
        <v>I - 409 x 179 x 8.77 x 14.36</v>
      </c>
      <c r="F257" s="25">
        <v>66.967199999999991</v>
      </c>
      <c r="G257" s="6">
        <v>409</v>
      </c>
      <c r="H257" s="6">
        <v>179</v>
      </c>
      <c r="I257" s="6">
        <v>8.77</v>
      </c>
      <c r="J257" s="6">
        <v>14.36</v>
      </c>
      <c r="K257" s="6"/>
      <c r="L257" s="6">
        <v>8580.6280000000006</v>
      </c>
      <c r="N257" s="5" t="str">
        <f t="shared" si="22"/>
        <v>I - 409 x 179 x 10 x 16</v>
      </c>
      <c r="O257" s="25">
        <f t="shared" si="23"/>
        <v>74.559299999999993</v>
      </c>
      <c r="P257" s="6">
        <f t="shared" si="24"/>
        <v>409</v>
      </c>
      <c r="Q257" s="6">
        <f t="shared" si="24"/>
        <v>179</v>
      </c>
      <c r="R257" s="6" cm="1">
        <f t="array" ref="R257">IF(I257-LOOKUP(I257, $Y$4:$Y$26) &lt;= 0.1, LOOKUP(I257, $Y$4:$Y$26), MIN(_xlfn._xlws.FILTER($Y$4:$Y$26, $Y$4:$Y$26&gt;=I257)))</f>
        <v>10</v>
      </c>
      <c r="S257" s="6" cm="1">
        <f t="array" ref="S257">IF(J257-LOOKUP(J257, $Y$4:$Y$26) &lt;= 0.1, LOOKUP(J257, $Y$4:$Y$26), MIN(_xlfn._xlws.FILTER($Y$4:$Y$26, $Y$4:$Y$26&gt;=J257)))</f>
        <v>16</v>
      </c>
    </row>
    <row r="258" spans="1:19" x14ac:dyDescent="0.25">
      <c r="A258" t="s">
        <v>509</v>
      </c>
      <c r="B258" s="11">
        <f t="shared" si="19"/>
        <v>60</v>
      </c>
      <c r="C258" s="11" t="str">
        <f t="shared" si="20"/>
        <v>I W16X60</v>
      </c>
      <c r="D258" s="5" t="s">
        <v>338</v>
      </c>
      <c r="E258" s="5" t="str">
        <f t="shared" si="21"/>
        <v>I - 407 x 178 x 7.75 x 12.83</v>
      </c>
      <c r="F258" s="25">
        <v>59.526399999999995</v>
      </c>
      <c r="G258" s="6">
        <v>407</v>
      </c>
      <c r="H258" s="6">
        <v>178</v>
      </c>
      <c r="I258" s="6">
        <v>7.75</v>
      </c>
      <c r="J258" s="6">
        <v>12.83</v>
      </c>
      <c r="K258" s="6"/>
      <c r="L258" s="6">
        <v>7612.8879999999999</v>
      </c>
      <c r="N258" s="5" t="str">
        <f t="shared" si="22"/>
        <v>I - 407 x 178 x 8 x 14</v>
      </c>
      <c r="O258" s="25">
        <f t="shared" si="23"/>
        <v>62.925600000000003</v>
      </c>
      <c r="P258" s="6">
        <f t="shared" si="24"/>
        <v>407</v>
      </c>
      <c r="Q258" s="6">
        <f t="shared" si="24"/>
        <v>178</v>
      </c>
      <c r="R258" s="6" cm="1">
        <f t="array" ref="R258">IF(I258-LOOKUP(I258, $Y$4:$Y$26) &lt;= 0.1, LOOKUP(I258, $Y$4:$Y$26), MIN(_xlfn._xlws.FILTER($Y$4:$Y$26, $Y$4:$Y$26&gt;=I258)))</f>
        <v>8</v>
      </c>
      <c r="S258" s="6" cm="1">
        <f t="array" ref="S258">IF(J258-LOOKUP(J258, $Y$4:$Y$26) &lt;= 0.1, LOOKUP(J258, $Y$4:$Y$26), MIN(_xlfn._xlws.FILTER($Y$4:$Y$26, $Y$4:$Y$26&gt;=J258)))</f>
        <v>14</v>
      </c>
    </row>
    <row r="259" spans="1:19" x14ac:dyDescent="0.25">
      <c r="A259" t="s">
        <v>509</v>
      </c>
      <c r="B259" s="11">
        <f t="shared" si="19"/>
        <v>54</v>
      </c>
      <c r="C259" s="11" t="str">
        <f t="shared" si="20"/>
        <v>I W16X54</v>
      </c>
      <c r="D259" s="5" t="s">
        <v>339</v>
      </c>
      <c r="E259" s="5" t="str">
        <f t="shared" si="21"/>
        <v>I - 404 x 178 x 7.5 x 10.93</v>
      </c>
      <c r="F259" s="25">
        <v>53.57376</v>
      </c>
      <c r="G259" s="6">
        <v>404</v>
      </c>
      <c r="H259" s="6">
        <v>178</v>
      </c>
      <c r="I259" s="6">
        <v>7.5</v>
      </c>
      <c r="J259" s="6">
        <v>10.93</v>
      </c>
      <c r="K259" s="6"/>
      <c r="L259" s="6">
        <v>6838.6959999999999</v>
      </c>
      <c r="N259" s="5" t="str">
        <f t="shared" si="22"/>
        <v>I - 404 x 178 x 8 x 12</v>
      </c>
      <c r="O259" s="25">
        <f t="shared" si="23"/>
        <v>57.3992</v>
      </c>
      <c r="P259" s="6">
        <f t="shared" si="24"/>
        <v>404</v>
      </c>
      <c r="Q259" s="6">
        <f t="shared" si="24"/>
        <v>178</v>
      </c>
      <c r="R259" s="6" cm="1">
        <f t="array" ref="R259">IF(I259-LOOKUP(I259, $Y$4:$Y$26) &lt;= 0.1, LOOKUP(I259, $Y$4:$Y$26), MIN(_xlfn._xlws.FILTER($Y$4:$Y$26, $Y$4:$Y$26&gt;=I259)))</f>
        <v>8</v>
      </c>
      <c r="S259" s="6" cm="1">
        <f t="array" ref="S259">IF(J259-LOOKUP(J259, $Y$4:$Y$26) &lt;= 0.1, LOOKUP(J259, $Y$4:$Y$26), MIN(_xlfn._xlws.FILTER($Y$4:$Y$26, $Y$4:$Y$26&gt;=J259)))</f>
        <v>12</v>
      </c>
    </row>
    <row r="260" spans="1:19" x14ac:dyDescent="0.25">
      <c r="A260" t="s">
        <v>509</v>
      </c>
      <c r="B260" s="11">
        <f t="shared" si="19"/>
        <v>46</v>
      </c>
      <c r="C260" s="11" t="str">
        <f t="shared" si="20"/>
        <v>I W16X46</v>
      </c>
      <c r="D260" s="5" t="s">
        <v>340</v>
      </c>
      <c r="E260" s="5" t="str">
        <f t="shared" si="21"/>
        <v>I - 404 x 141 x 6.99 x 11.18</v>
      </c>
      <c r="F260" s="25">
        <v>46.132959999999997</v>
      </c>
      <c r="G260" s="6">
        <v>404</v>
      </c>
      <c r="H260" s="6">
        <v>141</v>
      </c>
      <c r="I260" s="6">
        <v>6.99</v>
      </c>
      <c r="J260" s="6">
        <v>11.18</v>
      </c>
      <c r="K260" s="6"/>
      <c r="L260" s="6">
        <v>5890.3108000000002</v>
      </c>
      <c r="N260" s="5" t="str">
        <f t="shared" si="22"/>
        <v>I - 404 x 141 x 8 x 12</v>
      </c>
      <c r="O260" s="25">
        <f t="shared" si="23"/>
        <v>50.428400000000003</v>
      </c>
      <c r="P260" s="6">
        <f t="shared" si="24"/>
        <v>404</v>
      </c>
      <c r="Q260" s="6">
        <f t="shared" si="24"/>
        <v>141</v>
      </c>
      <c r="R260" s="6" cm="1">
        <f t="array" ref="R260">IF(I260-LOOKUP(I260, $Y$4:$Y$26) &lt;= 0.1, LOOKUP(I260, $Y$4:$Y$26), MIN(_xlfn._xlws.FILTER($Y$4:$Y$26, $Y$4:$Y$26&gt;=I260)))</f>
        <v>8</v>
      </c>
      <c r="S260" s="6" cm="1">
        <f t="array" ref="S260">IF(J260-LOOKUP(J260, $Y$4:$Y$26) &lt;= 0.1, LOOKUP(J260, $Y$4:$Y$26), MIN(_xlfn._xlws.FILTER($Y$4:$Y$26, $Y$4:$Y$26&gt;=J260)))</f>
        <v>12</v>
      </c>
    </row>
    <row r="261" spans="1:19" x14ac:dyDescent="0.25">
      <c r="A261" t="s">
        <v>509</v>
      </c>
      <c r="B261" s="11">
        <f t="shared" si="19"/>
        <v>39</v>
      </c>
      <c r="C261" s="11" t="str">
        <f t="shared" si="20"/>
        <v>I W16X39</v>
      </c>
      <c r="D261" s="5" t="s">
        <v>341</v>
      </c>
      <c r="E261" s="5" t="str">
        <f t="shared" si="21"/>
        <v>I - 399 x 140 x 6.35 x 8.77</v>
      </c>
      <c r="F261" s="25">
        <v>38.692160000000001</v>
      </c>
      <c r="G261" s="6">
        <v>399</v>
      </c>
      <c r="H261" s="6">
        <v>140</v>
      </c>
      <c r="I261" s="6">
        <v>6.35</v>
      </c>
      <c r="J261" s="6">
        <v>8.77</v>
      </c>
      <c r="K261" s="6"/>
      <c r="L261" s="6">
        <v>4954.8288000000002</v>
      </c>
      <c r="N261" s="5" t="str">
        <f t="shared" si="22"/>
        <v>I - 399 x 140 x 8 x 10</v>
      </c>
      <c r="O261" s="25">
        <f t="shared" si="23"/>
        <v>45.781199999999998</v>
      </c>
      <c r="P261" s="6">
        <f t="shared" si="24"/>
        <v>399</v>
      </c>
      <c r="Q261" s="6">
        <f t="shared" si="24"/>
        <v>140</v>
      </c>
      <c r="R261" s="6" cm="1">
        <f t="array" ref="R261">IF(I261-LOOKUP(I261, $Y$4:$Y$26) &lt;= 0.1, LOOKUP(I261, $Y$4:$Y$26), MIN(_xlfn._xlws.FILTER($Y$4:$Y$26, $Y$4:$Y$26&gt;=I261)))</f>
        <v>8</v>
      </c>
      <c r="S261" s="6" cm="1">
        <f t="array" ref="S261">IF(J261-LOOKUP(J261, $Y$4:$Y$26) &lt;= 0.1, LOOKUP(J261, $Y$4:$Y$26), MIN(_xlfn._xlws.FILTER($Y$4:$Y$26, $Y$4:$Y$26&gt;=J261)))</f>
        <v>10</v>
      </c>
    </row>
    <row r="262" spans="1:19" x14ac:dyDescent="0.25">
      <c r="A262" t="s">
        <v>510</v>
      </c>
      <c r="B262" s="11">
        <f t="shared" ref="B262:B325" si="25">ROUND(F262,0)</f>
        <v>1299</v>
      </c>
      <c r="C262" s="11" t="str">
        <f t="shared" ref="C262:C325" si="26">"I "&amp;A262&amp;"X"&amp;B262</f>
        <v>I W14X1299</v>
      </c>
      <c r="D262" s="5" t="s">
        <v>342</v>
      </c>
      <c r="E262" s="5" t="str">
        <f t="shared" ref="E262:E325" si="27">IF((G262/H262)&lt;2,"H - ","I - ")&amp;G262&amp;" x "&amp;H262&amp;" x "&amp;I262&amp;" x "&amp;J262</f>
        <v>H - 600 x 478 x 100.08 x 139.96</v>
      </c>
      <c r="F262" s="25">
        <v>1299.1636799999999</v>
      </c>
      <c r="G262" s="6">
        <v>600</v>
      </c>
      <c r="H262" s="6">
        <v>478</v>
      </c>
      <c r="I262" s="6">
        <v>100.08</v>
      </c>
      <c r="J262" s="6">
        <v>139.95999999999998</v>
      </c>
      <c r="K262" s="6"/>
      <c r="L262" s="6">
        <v>165806.12</v>
      </c>
      <c r="N262" s="5" t="e" vm="1">
        <f t="shared" ref="N262:N325" si="28">IF((P262/Q262)&lt;2,"H - ","I - ")&amp;P262&amp;" x "&amp;Q262&amp;" x "&amp;R262&amp;" x "&amp;S262</f>
        <v>#VALUE!</v>
      </c>
      <c r="O262" s="25" t="e" vm="1">
        <f t="shared" ref="O262:O325" si="29">((P262-2*S262)*R262+2*Q262*S262)*7850/10^6</f>
        <v>#VALUE!</v>
      </c>
      <c r="P262" s="6">
        <f t="shared" ref="P262:Q325" si="30">ROUND(G262,0)</f>
        <v>600</v>
      </c>
      <c r="Q262" s="6">
        <f t="shared" si="30"/>
        <v>478</v>
      </c>
      <c r="R262" s="6" t="e" cm="1" vm="2">
        <f t="array" ref="R262">IF(I262-LOOKUP(I262, $Y$4:$Y$26) &lt;= 0.1, LOOKUP(I262, $Y$4:$Y$26), MIN(_xlfn._xlws.FILTER($Y$4:$Y$26, $Y$4:$Y$26&gt;=I262)))</f>
        <v>#VALUE!</v>
      </c>
      <c r="S262" s="6" t="e" cm="1" vm="2">
        <f t="array" ref="S262">IF(J262-LOOKUP(J262, $Y$4:$Y$26) &lt;= 0.1, LOOKUP(J262, $Y$4:$Y$26), MIN(_xlfn._xlws.FILTER($Y$4:$Y$26, $Y$4:$Y$26&gt;=J262)))</f>
        <v>#VALUE!</v>
      </c>
    </row>
    <row r="263" spans="1:19" x14ac:dyDescent="0.25">
      <c r="A263" t="s">
        <v>510</v>
      </c>
      <c r="B263" s="11">
        <f t="shared" si="25"/>
        <v>1202</v>
      </c>
      <c r="C263" s="11" t="str">
        <f t="shared" si="26"/>
        <v>I W14X1202</v>
      </c>
      <c r="D263" s="5" t="s">
        <v>343</v>
      </c>
      <c r="E263" s="5" t="str">
        <f t="shared" si="27"/>
        <v>H - 580 x 473 x 95 x 130.05</v>
      </c>
      <c r="F263" s="25">
        <v>1202.43328</v>
      </c>
      <c r="G263" s="6">
        <v>580</v>
      </c>
      <c r="H263" s="6">
        <v>473</v>
      </c>
      <c r="I263" s="6">
        <v>95</v>
      </c>
      <c r="J263" s="6">
        <v>130.04999999999998</v>
      </c>
      <c r="K263" s="6"/>
      <c r="L263" s="6">
        <v>153548.08000000002</v>
      </c>
      <c r="N263" s="5" t="e" vm="1">
        <f t="shared" si="28"/>
        <v>#VALUE!</v>
      </c>
      <c r="O263" s="25" t="e" vm="1">
        <f t="shared" si="29"/>
        <v>#VALUE!</v>
      </c>
      <c r="P263" s="6">
        <f t="shared" si="30"/>
        <v>580</v>
      </c>
      <c r="Q263" s="6">
        <f t="shared" si="30"/>
        <v>473</v>
      </c>
      <c r="R263" s="6" t="e" cm="1" vm="2">
        <f t="array" ref="R263">IF(I263-LOOKUP(I263, $Y$4:$Y$26) &lt;= 0.1, LOOKUP(I263, $Y$4:$Y$26), MIN(_xlfn._xlws.FILTER($Y$4:$Y$26, $Y$4:$Y$26&gt;=I263)))</f>
        <v>#VALUE!</v>
      </c>
      <c r="S263" s="6" t="e" cm="1" vm="2">
        <f t="array" ref="S263">IF(J263-LOOKUP(J263, $Y$4:$Y$26) &lt;= 0.1, LOOKUP(J263, $Y$4:$Y$26), MIN(_xlfn._xlws.FILTER($Y$4:$Y$26, $Y$4:$Y$26&gt;=J263)))</f>
        <v>#VALUE!</v>
      </c>
    </row>
    <row r="264" spans="1:19" x14ac:dyDescent="0.25">
      <c r="A264" t="s">
        <v>510</v>
      </c>
      <c r="B264" s="11">
        <f t="shared" si="25"/>
        <v>1086</v>
      </c>
      <c r="C264" s="11" t="str">
        <f t="shared" si="26"/>
        <v>I W14X1086</v>
      </c>
      <c r="D264" s="5" t="s">
        <v>344</v>
      </c>
      <c r="E264" s="5" t="str">
        <f t="shared" si="27"/>
        <v>H - 569 x 455 x 77.98 x 124.72</v>
      </c>
      <c r="F264" s="25">
        <v>1086.3568</v>
      </c>
      <c r="G264" s="6">
        <v>569</v>
      </c>
      <c r="H264" s="6">
        <v>455</v>
      </c>
      <c r="I264" s="6">
        <v>77.98</v>
      </c>
      <c r="J264" s="6">
        <v>124.72</v>
      </c>
      <c r="K264" s="6"/>
      <c r="L264" s="6">
        <v>138709.4</v>
      </c>
      <c r="N264" s="5" t="e" vm="1">
        <f t="shared" si="28"/>
        <v>#VALUE!</v>
      </c>
      <c r="O264" s="25" t="e" vm="1">
        <f t="shared" si="29"/>
        <v>#VALUE!</v>
      </c>
      <c r="P264" s="6">
        <f t="shared" si="30"/>
        <v>569</v>
      </c>
      <c r="Q264" s="6">
        <f t="shared" si="30"/>
        <v>455</v>
      </c>
      <c r="R264" s="6" cm="1">
        <f t="array" ref="R264">IF(I264-LOOKUP(I264, $Y$4:$Y$26) &lt;= 0.1, LOOKUP(I264, $Y$4:$Y$26), MIN(_xlfn._xlws.FILTER($Y$4:$Y$26, $Y$4:$Y$26&gt;=I264)))</f>
        <v>80</v>
      </c>
      <c r="S264" s="6" t="e" cm="1" vm="2">
        <f t="array" ref="S264">IF(J264-LOOKUP(J264, $Y$4:$Y$26) &lt;= 0.1, LOOKUP(J264, $Y$4:$Y$26), MIN(_xlfn._xlws.FILTER($Y$4:$Y$26, $Y$4:$Y$26&gt;=J264)))</f>
        <v>#VALUE!</v>
      </c>
    </row>
    <row r="265" spans="1:19" x14ac:dyDescent="0.25">
      <c r="A265" t="s">
        <v>510</v>
      </c>
      <c r="B265" s="11">
        <f t="shared" si="25"/>
        <v>990</v>
      </c>
      <c r="C265" s="11" t="str">
        <f t="shared" si="26"/>
        <v>I W14X990</v>
      </c>
      <c r="D265" s="5" t="s">
        <v>345</v>
      </c>
      <c r="E265" s="5" t="str">
        <f t="shared" si="27"/>
        <v>H - 549 x 450 x 71.89 x 114.81</v>
      </c>
      <c r="F265" s="25">
        <v>989.62639999999999</v>
      </c>
      <c r="G265" s="6">
        <v>549</v>
      </c>
      <c r="H265" s="6">
        <v>450</v>
      </c>
      <c r="I265" s="6">
        <v>71.89</v>
      </c>
      <c r="J265" s="6">
        <v>114.81</v>
      </c>
      <c r="K265" s="6"/>
      <c r="L265" s="6">
        <v>126451.35999999999</v>
      </c>
      <c r="N265" s="5" t="e" vm="1">
        <f t="shared" si="28"/>
        <v>#VALUE!</v>
      </c>
      <c r="O265" s="25" t="e" vm="1">
        <f t="shared" si="29"/>
        <v>#VALUE!</v>
      </c>
      <c r="P265" s="6">
        <f t="shared" si="30"/>
        <v>549</v>
      </c>
      <c r="Q265" s="6">
        <f t="shared" si="30"/>
        <v>450</v>
      </c>
      <c r="R265" s="6" cm="1">
        <f t="array" ref="R265">IF(I265-LOOKUP(I265, $Y$4:$Y$26) &lt;= 0.1, LOOKUP(I265, $Y$4:$Y$26), MIN(_xlfn._xlws.FILTER($Y$4:$Y$26, $Y$4:$Y$26&gt;=I265)))</f>
        <v>80</v>
      </c>
      <c r="S265" s="6" t="e" cm="1" vm="2">
        <f t="array" ref="S265">IF(J265-LOOKUP(J265, $Y$4:$Y$26) &lt;= 0.1, LOOKUP(J265, $Y$4:$Y$26), MIN(_xlfn._xlws.FILTER($Y$4:$Y$26, $Y$4:$Y$26&gt;=J265)))</f>
        <v>#VALUE!</v>
      </c>
    </row>
    <row r="266" spans="1:19" x14ac:dyDescent="0.25">
      <c r="A266" t="s">
        <v>510</v>
      </c>
      <c r="B266" s="11">
        <f t="shared" si="25"/>
        <v>900</v>
      </c>
      <c r="C266" s="11" t="str">
        <f t="shared" si="26"/>
        <v>I W14X900</v>
      </c>
      <c r="D266" s="5" t="s">
        <v>346</v>
      </c>
      <c r="E266" s="5" t="str">
        <f t="shared" si="27"/>
        <v>H - 531 x 442 x 66.04 x 105.67</v>
      </c>
      <c r="F266" s="25">
        <v>900.33679999999993</v>
      </c>
      <c r="G266" s="6">
        <v>531</v>
      </c>
      <c r="H266" s="6">
        <v>442</v>
      </c>
      <c r="I266" s="6">
        <v>66.040000000000006</v>
      </c>
      <c r="J266" s="6">
        <v>105.67</v>
      </c>
      <c r="K266" s="6"/>
      <c r="L266" s="6">
        <v>114838.48</v>
      </c>
      <c r="N266" s="5" t="e" vm="1">
        <f t="shared" si="28"/>
        <v>#VALUE!</v>
      </c>
      <c r="O266" s="25" t="e" vm="1">
        <f t="shared" si="29"/>
        <v>#VALUE!</v>
      </c>
      <c r="P266" s="6">
        <f t="shared" si="30"/>
        <v>531</v>
      </c>
      <c r="Q266" s="6">
        <f t="shared" si="30"/>
        <v>442</v>
      </c>
      <c r="R266" s="6" cm="1">
        <f t="array" ref="R266">IF(I266-LOOKUP(I266, $Y$4:$Y$26) &lt;= 0.1, LOOKUP(I266, $Y$4:$Y$26), MIN(_xlfn._xlws.FILTER($Y$4:$Y$26, $Y$4:$Y$26&gt;=I266)))</f>
        <v>70</v>
      </c>
      <c r="S266" s="6" t="e" cm="1" vm="2">
        <f t="array" ref="S266">IF(J266-LOOKUP(J266, $Y$4:$Y$26) &lt;= 0.1, LOOKUP(J266, $Y$4:$Y$26), MIN(_xlfn._xlws.FILTER($Y$4:$Y$26, $Y$4:$Y$26&gt;=J266)))</f>
        <v>#VALUE!</v>
      </c>
    </row>
    <row r="267" spans="1:19" x14ac:dyDescent="0.25">
      <c r="A267" t="s">
        <v>510</v>
      </c>
      <c r="B267" s="11">
        <f t="shared" si="25"/>
        <v>818</v>
      </c>
      <c r="C267" s="11" t="str">
        <f t="shared" si="26"/>
        <v>I W14X818</v>
      </c>
      <c r="D267" s="5" t="s">
        <v>347</v>
      </c>
      <c r="E267" s="5" t="str">
        <f t="shared" si="27"/>
        <v>H - 514 x 437 x 60.46 x 97.03</v>
      </c>
      <c r="F267" s="25">
        <v>818.48799999999994</v>
      </c>
      <c r="G267" s="6">
        <v>514</v>
      </c>
      <c r="H267" s="6">
        <v>437</v>
      </c>
      <c r="I267" s="6">
        <v>60.46</v>
      </c>
      <c r="J267" s="6">
        <v>97.03</v>
      </c>
      <c r="K267" s="6"/>
      <c r="L267" s="6">
        <v>104515.92</v>
      </c>
      <c r="N267" s="5" t="e" vm="1">
        <f t="shared" si="28"/>
        <v>#VALUE!</v>
      </c>
      <c r="O267" s="25" t="e" vm="1">
        <f t="shared" si="29"/>
        <v>#VALUE!</v>
      </c>
      <c r="P267" s="6">
        <f t="shared" si="30"/>
        <v>514</v>
      </c>
      <c r="Q267" s="6">
        <f t="shared" si="30"/>
        <v>437</v>
      </c>
      <c r="R267" s="6" cm="1">
        <f t="array" ref="R267">IF(I267-LOOKUP(I267, $Y$4:$Y$26) &lt;= 0.1, LOOKUP(I267, $Y$4:$Y$26), MIN(_xlfn._xlws.FILTER($Y$4:$Y$26, $Y$4:$Y$26&gt;=I267)))</f>
        <v>70</v>
      </c>
      <c r="S267" s="6" t="e" cm="1" vm="2">
        <f t="array" ref="S267">IF(J267-LOOKUP(J267, $Y$4:$Y$26) &lt;= 0.1, LOOKUP(J267, $Y$4:$Y$26), MIN(_xlfn._xlws.FILTER($Y$4:$Y$26, $Y$4:$Y$26&gt;=J267)))</f>
        <v>#VALUE!</v>
      </c>
    </row>
    <row r="268" spans="1:19" x14ac:dyDescent="0.25">
      <c r="A268" t="s">
        <v>510</v>
      </c>
      <c r="B268" s="11">
        <f t="shared" si="25"/>
        <v>744</v>
      </c>
      <c r="C268" s="11" t="str">
        <f t="shared" si="26"/>
        <v>I W14X744</v>
      </c>
      <c r="D268" s="5" t="s">
        <v>348</v>
      </c>
      <c r="E268" s="5" t="str">
        <f t="shared" si="27"/>
        <v>H - 498 x 432 x 55.63 x 88.9</v>
      </c>
      <c r="F268" s="25">
        <v>744.07999999999993</v>
      </c>
      <c r="G268" s="6">
        <v>498</v>
      </c>
      <c r="H268" s="6">
        <v>432</v>
      </c>
      <c r="I268" s="6">
        <v>55.629999999999995</v>
      </c>
      <c r="J268" s="6">
        <v>88.9</v>
      </c>
      <c r="K268" s="6"/>
      <c r="L268" s="6">
        <v>94838.51999999999</v>
      </c>
      <c r="N268" s="5" t="str">
        <f t="shared" si="28"/>
        <v>H - 498 x 432 x 60 x 90</v>
      </c>
      <c r="O268" s="25">
        <f t="shared" si="29"/>
        <v>760.19399999999996</v>
      </c>
      <c r="P268" s="6">
        <f t="shared" si="30"/>
        <v>498</v>
      </c>
      <c r="Q268" s="6">
        <f t="shared" si="30"/>
        <v>432</v>
      </c>
      <c r="R268" s="6" cm="1">
        <f t="array" ref="R268">IF(I268-LOOKUP(I268, $Y$4:$Y$26) &lt;= 0.1, LOOKUP(I268, $Y$4:$Y$26), MIN(_xlfn._xlws.FILTER($Y$4:$Y$26, $Y$4:$Y$26&gt;=I268)))</f>
        <v>60</v>
      </c>
      <c r="S268" s="6" cm="1">
        <f t="array" ref="S268">IF(J268-LOOKUP(J268, $Y$4:$Y$26) &lt;= 0.1, LOOKUP(J268, $Y$4:$Y$26), MIN(_xlfn._xlws.FILTER($Y$4:$Y$26, $Y$4:$Y$26&gt;=J268)))</f>
        <v>90</v>
      </c>
    </row>
    <row r="269" spans="1:19" x14ac:dyDescent="0.25">
      <c r="A269" t="s">
        <v>510</v>
      </c>
      <c r="B269" s="11">
        <f t="shared" si="25"/>
        <v>677</v>
      </c>
      <c r="C269" s="11" t="str">
        <f t="shared" si="26"/>
        <v>I W14X677</v>
      </c>
      <c r="D269" s="5" t="s">
        <v>349</v>
      </c>
      <c r="E269" s="5" t="str">
        <f t="shared" si="27"/>
        <v>H - 483 x 427 x 51.31 x 81.54</v>
      </c>
      <c r="F269" s="25">
        <v>677.11279999999999</v>
      </c>
      <c r="G269" s="6">
        <v>483</v>
      </c>
      <c r="H269" s="6">
        <v>427</v>
      </c>
      <c r="I269" s="6">
        <v>51.309999999999995</v>
      </c>
      <c r="J269" s="6">
        <v>81.540000000000006</v>
      </c>
      <c r="K269" s="6"/>
      <c r="L269" s="6">
        <v>86451.44</v>
      </c>
      <c r="N269" s="5" t="str">
        <f t="shared" si="28"/>
        <v>H - 483 x 427 x 60 x 90</v>
      </c>
      <c r="O269" s="25">
        <f t="shared" si="29"/>
        <v>746.06399999999996</v>
      </c>
      <c r="P269" s="6">
        <f t="shared" si="30"/>
        <v>483</v>
      </c>
      <c r="Q269" s="6">
        <f t="shared" si="30"/>
        <v>427</v>
      </c>
      <c r="R269" s="6" cm="1">
        <f t="array" ref="R269">IF(I269-LOOKUP(I269, $Y$4:$Y$26) &lt;= 0.1, LOOKUP(I269, $Y$4:$Y$26), MIN(_xlfn._xlws.FILTER($Y$4:$Y$26, $Y$4:$Y$26&gt;=I269)))</f>
        <v>60</v>
      </c>
      <c r="S269" s="6" cm="1">
        <f t="array" ref="S269">IF(J269-LOOKUP(J269, $Y$4:$Y$26) &lt;= 0.1, LOOKUP(J269, $Y$4:$Y$26), MIN(_xlfn._xlws.FILTER($Y$4:$Y$26, $Y$4:$Y$26&gt;=J269)))</f>
        <v>90</v>
      </c>
    </row>
    <row r="270" spans="1:19" x14ac:dyDescent="0.25">
      <c r="A270" t="s">
        <v>510</v>
      </c>
      <c r="B270" s="11">
        <f t="shared" si="25"/>
        <v>634</v>
      </c>
      <c r="C270" s="11" t="str">
        <f t="shared" si="26"/>
        <v>I W14X634</v>
      </c>
      <c r="D270" s="5" t="s">
        <v>350</v>
      </c>
      <c r="E270" s="5" t="str">
        <f t="shared" si="27"/>
        <v>H - 475 x 425 x 47.76 x 77.22</v>
      </c>
      <c r="F270" s="25">
        <v>633.95615999999995</v>
      </c>
      <c r="G270" s="6">
        <v>475</v>
      </c>
      <c r="H270" s="6">
        <v>425</v>
      </c>
      <c r="I270" s="6">
        <v>47.76</v>
      </c>
      <c r="J270" s="6">
        <v>77.22</v>
      </c>
      <c r="K270" s="6"/>
      <c r="L270" s="6">
        <v>80645</v>
      </c>
      <c r="N270" s="5" t="str">
        <f t="shared" si="28"/>
        <v>H - 475 x 425 x 50 x 80</v>
      </c>
      <c r="O270" s="25">
        <f t="shared" si="29"/>
        <v>657.4375</v>
      </c>
      <c r="P270" s="6">
        <f t="shared" si="30"/>
        <v>475</v>
      </c>
      <c r="Q270" s="6">
        <f t="shared" si="30"/>
        <v>425</v>
      </c>
      <c r="R270" s="6" cm="1">
        <f t="array" ref="R270">IF(I270-LOOKUP(I270, $Y$4:$Y$26) &lt;= 0.1, LOOKUP(I270, $Y$4:$Y$26), MIN(_xlfn._xlws.FILTER($Y$4:$Y$26, $Y$4:$Y$26&gt;=I270)))</f>
        <v>50</v>
      </c>
      <c r="S270" s="6" cm="1">
        <f t="array" ref="S270">IF(J270-LOOKUP(J270, $Y$4:$Y$26) &lt;= 0.1, LOOKUP(J270, $Y$4:$Y$26), MIN(_xlfn._xlws.FILTER($Y$4:$Y$26, $Y$4:$Y$26&gt;=J270)))</f>
        <v>80</v>
      </c>
    </row>
    <row r="271" spans="1:19" x14ac:dyDescent="0.25">
      <c r="A271" t="s">
        <v>510</v>
      </c>
      <c r="B271" s="11">
        <f t="shared" si="25"/>
        <v>592</v>
      </c>
      <c r="C271" s="11" t="str">
        <f t="shared" si="26"/>
        <v>I W14X592</v>
      </c>
      <c r="D271" s="5" t="s">
        <v>351</v>
      </c>
      <c r="E271" s="5" t="str">
        <f t="shared" si="27"/>
        <v>H - 465 x 422 x 44.96 x 72.39</v>
      </c>
      <c r="F271" s="25">
        <v>592.28768000000002</v>
      </c>
      <c r="G271" s="6">
        <v>465</v>
      </c>
      <c r="H271" s="6">
        <v>422</v>
      </c>
      <c r="I271" s="6">
        <v>44.96</v>
      </c>
      <c r="J271" s="6">
        <v>72.39</v>
      </c>
      <c r="K271" s="6"/>
      <c r="L271" s="6">
        <v>75483.72</v>
      </c>
      <c r="N271" s="5" t="str">
        <f t="shared" si="28"/>
        <v>H - 465 x 422 x 45 x 80</v>
      </c>
      <c r="O271" s="25">
        <f t="shared" si="29"/>
        <v>637.77324999999996</v>
      </c>
      <c r="P271" s="6">
        <f t="shared" si="30"/>
        <v>465</v>
      </c>
      <c r="Q271" s="6">
        <f t="shared" si="30"/>
        <v>422</v>
      </c>
      <c r="R271" s="6" cm="1">
        <f t="array" ref="R271">IF(I271-LOOKUP(I271, $Y$4:$Y$26) &lt;= 0.1, LOOKUP(I271, $Y$4:$Y$26), MIN(_xlfn._xlws.FILTER($Y$4:$Y$26, $Y$4:$Y$26&gt;=I271)))</f>
        <v>45</v>
      </c>
      <c r="S271" s="6" cm="1">
        <f t="array" ref="S271">IF(J271-LOOKUP(J271, $Y$4:$Y$26) &lt;= 0.1, LOOKUP(J271, $Y$4:$Y$26), MIN(_xlfn._xlws.FILTER($Y$4:$Y$26, $Y$4:$Y$26&gt;=J271)))</f>
        <v>80</v>
      </c>
    </row>
    <row r="272" spans="1:19" x14ac:dyDescent="0.25">
      <c r="A272" t="s">
        <v>510</v>
      </c>
      <c r="B272" s="11">
        <f t="shared" si="25"/>
        <v>551</v>
      </c>
      <c r="C272" s="11" t="str">
        <f t="shared" si="26"/>
        <v>I W14X551</v>
      </c>
      <c r="D272" s="5" t="s">
        <v>352</v>
      </c>
      <c r="E272" s="5" t="str">
        <f t="shared" si="27"/>
        <v>H - 455 x 420 x 42.17 x 67.57</v>
      </c>
      <c r="F272" s="25">
        <v>550.61919999999998</v>
      </c>
      <c r="G272" s="6">
        <v>455</v>
      </c>
      <c r="H272" s="6">
        <v>420</v>
      </c>
      <c r="I272" s="6">
        <v>42.169999999999995</v>
      </c>
      <c r="J272" s="6">
        <v>67.570000000000007</v>
      </c>
      <c r="K272" s="6"/>
      <c r="L272" s="6">
        <v>70322.44</v>
      </c>
      <c r="N272" s="5" t="str">
        <f t="shared" si="28"/>
        <v>H - 455 x 420 x 45 x 70</v>
      </c>
      <c r="O272" s="25">
        <f t="shared" si="29"/>
        <v>572.85374999999999</v>
      </c>
      <c r="P272" s="6">
        <f t="shared" si="30"/>
        <v>455</v>
      </c>
      <c r="Q272" s="6">
        <f t="shared" si="30"/>
        <v>420</v>
      </c>
      <c r="R272" s="6" cm="1">
        <f t="array" ref="R272">IF(I272-LOOKUP(I272, $Y$4:$Y$26) &lt;= 0.1, LOOKUP(I272, $Y$4:$Y$26), MIN(_xlfn._xlws.FILTER($Y$4:$Y$26, $Y$4:$Y$26&gt;=I272)))</f>
        <v>45</v>
      </c>
      <c r="S272" s="6" cm="1">
        <f t="array" ref="S272">IF(J272-LOOKUP(J272, $Y$4:$Y$26) &lt;= 0.1, LOOKUP(J272, $Y$4:$Y$26), MIN(_xlfn._xlws.FILTER($Y$4:$Y$26, $Y$4:$Y$26&gt;=J272)))</f>
        <v>70</v>
      </c>
    </row>
    <row r="273" spans="1:19" x14ac:dyDescent="0.25">
      <c r="A273" t="s">
        <v>510</v>
      </c>
      <c r="B273" s="11">
        <f t="shared" si="25"/>
        <v>509</v>
      </c>
      <c r="C273" s="11" t="str">
        <f t="shared" si="26"/>
        <v>I W14X509</v>
      </c>
      <c r="D273" s="5" t="s">
        <v>353</v>
      </c>
      <c r="E273" s="5" t="str">
        <f t="shared" si="27"/>
        <v>H - 445 x 417 x 39.12 x 62.74</v>
      </c>
      <c r="F273" s="25">
        <v>508.95071999999999</v>
      </c>
      <c r="G273" s="6">
        <v>445</v>
      </c>
      <c r="H273" s="6">
        <v>417</v>
      </c>
      <c r="I273" s="6">
        <v>39.119999999999997</v>
      </c>
      <c r="J273" s="6">
        <v>62.739999999999995</v>
      </c>
      <c r="K273" s="6"/>
      <c r="L273" s="6">
        <v>65161.159999999996</v>
      </c>
      <c r="N273" s="5" t="str">
        <f t="shared" si="28"/>
        <v>H - 445 x 417 x 40 x 70</v>
      </c>
      <c r="O273" s="25">
        <f t="shared" si="29"/>
        <v>554.053</v>
      </c>
      <c r="P273" s="6">
        <f t="shared" si="30"/>
        <v>445</v>
      </c>
      <c r="Q273" s="6">
        <f t="shared" si="30"/>
        <v>417</v>
      </c>
      <c r="R273" s="6" cm="1">
        <f t="array" ref="R273">IF(I273-LOOKUP(I273, $Y$4:$Y$26) &lt;= 0.1, LOOKUP(I273, $Y$4:$Y$26), MIN(_xlfn._xlws.FILTER($Y$4:$Y$26, $Y$4:$Y$26&gt;=I273)))</f>
        <v>40</v>
      </c>
      <c r="S273" s="6" cm="1">
        <f t="array" ref="S273">IF(J273-LOOKUP(J273, $Y$4:$Y$26) &lt;= 0.1, LOOKUP(J273, $Y$4:$Y$26), MIN(_xlfn._xlws.FILTER($Y$4:$Y$26, $Y$4:$Y$26&gt;=J273)))</f>
        <v>70</v>
      </c>
    </row>
    <row r="274" spans="1:19" x14ac:dyDescent="0.25">
      <c r="A274" t="s">
        <v>510</v>
      </c>
      <c r="B274" s="11">
        <f t="shared" si="25"/>
        <v>463</v>
      </c>
      <c r="C274" s="11" t="str">
        <f t="shared" si="26"/>
        <v>I W14X463</v>
      </c>
      <c r="D274" s="5" t="s">
        <v>354</v>
      </c>
      <c r="E274" s="5" t="str">
        <f t="shared" si="27"/>
        <v>H - 435 x 412 x 35.82 x 57.41</v>
      </c>
      <c r="F274" s="25">
        <v>462.81775999999996</v>
      </c>
      <c r="G274" s="6">
        <v>435</v>
      </c>
      <c r="H274" s="6">
        <v>412</v>
      </c>
      <c r="I274" s="6">
        <v>35.82</v>
      </c>
      <c r="J274" s="6">
        <v>57.41</v>
      </c>
      <c r="K274" s="6"/>
      <c r="L274" s="6">
        <v>58967.624000000003</v>
      </c>
      <c r="N274" s="5" t="str">
        <f t="shared" si="28"/>
        <v>H - 435 x 412 x 40 x 60</v>
      </c>
      <c r="O274" s="25">
        <f t="shared" si="29"/>
        <v>487.01400000000001</v>
      </c>
      <c r="P274" s="6">
        <f t="shared" si="30"/>
        <v>435</v>
      </c>
      <c r="Q274" s="6">
        <f t="shared" si="30"/>
        <v>412</v>
      </c>
      <c r="R274" s="6" cm="1">
        <f t="array" ref="R274">IF(I274-LOOKUP(I274, $Y$4:$Y$26) &lt;= 0.1, LOOKUP(I274, $Y$4:$Y$26), MIN(_xlfn._xlws.FILTER($Y$4:$Y$26, $Y$4:$Y$26&gt;=I274)))</f>
        <v>40</v>
      </c>
      <c r="S274" s="6" cm="1">
        <f t="array" ref="S274">IF(J274-LOOKUP(J274, $Y$4:$Y$26) &lt;= 0.1, LOOKUP(J274, $Y$4:$Y$26), MIN(_xlfn._xlws.FILTER($Y$4:$Y$26, $Y$4:$Y$26&gt;=J274)))</f>
        <v>60</v>
      </c>
    </row>
    <row r="275" spans="1:19" x14ac:dyDescent="0.25">
      <c r="A275" t="s">
        <v>510</v>
      </c>
      <c r="B275" s="11">
        <f t="shared" si="25"/>
        <v>421</v>
      </c>
      <c r="C275" s="11" t="str">
        <f t="shared" si="26"/>
        <v>I W14X421</v>
      </c>
      <c r="D275" s="5" t="s">
        <v>355</v>
      </c>
      <c r="E275" s="5" t="str">
        <f t="shared" si="27"/>
        <v>H - 425 x 409 x 32.77 x 52.58</v>
      </c>
      <c r="F275" s="25">
        <v>421.14927999999998</v>
      </c>
      <c r="G275" s="6">
        <v>425</v>
      </c>
      <c r="H275" s="6">
        <v>409</v>
      </c>
      <c r="I275" s="6">
        <v>32.769999999999996</v>
      </c>
      <c r="J275" s="6">
        <v>52.58</v>
      </c>
      <c r="K275" s="6"/>
      <c r="L275" s="6">
        <v>53741.828000000001</v>
      </c>
      <c r="N275" s="5" t="str">
        <f t="shared" si="28"/>
        <v>H - 425 x 409 x 35 x 60</v>
      </c>
      <c r="O275" s="25">
        <f t="shared" si="29"/>
        <v>469.07675</v>
      </c>
      <c r="P275" s="6">
        <f t="shared" si="30"/>
        <v>425</v>
      </c>
      <c r="Q275" s="6">
        <f t="shared" si="30"/>
        <v>409</v>
      </c>
      <c r="R275" s="6" cm="1">
        <f t="array" ref="R275">IF(I275-LOOKUP(I275, $Y$4:$Y$26) &lt;= 0.1, LOOKUP(I275, $Y$4:$Y$26), MIN(_xlfn._xlws.FILTER($Y$4:$Y$26, $Y$4:$Y$26&gt;=I275)))</f>
        <v>35</v>
      </c>
      <c r="S275" s="6" cm="1">
        <f t="array" ref="S275">IF(J275-LOOKUP(J275, $Y$4:$Y$26) &lt;= 0.1, LOOKUP(J275, $Y$4:$Y$26), MIN(_xlfn._xlws.FILTER($Y$4:$Y$26, $Y$4:$Y$26&gt;=J275)))</f>
        <v>60</v>
      </c>
    </row>
    <row r="276" spans="1:19" x14ac:dyDescent="0.25">
      <c r="A276" t="s">
        <v>510</v>
      </c>
      <c r="B276" s="11">
        <f t="shared" si="25"/>
        <v>382</v>
      </c>
      <c r="C276" s="11" t="str">
        <f t="shared" si="26"/>
        <v>I W14X382</v>
      </c>
      <c r="D276" s="5" t="s">
        <v>356</v>
      </c>
      <c r="E276" s="5" t="str">
        <f t="shared" si="27"/>
        <v>H - 417 x 407 x 29.98 x 48.01</v>
      </c>
      <c r="F276" s="25">
        <v>382.45711999999997</v>
      </c>
      <c r="G276" s="6">
        <v>417</v>
      </c>
      <c r="H276" s="6">
        <v>407</v>
      </c>
      <c r="I276" s="6">
        <v>29.98</v>
      </c>
      <c r="J276" s="6">
        <v>48.01</v>
      </c>
      <c r="K276" s="6"/>
      <c r="L276" s="6">
        <v>48774.095999999998</v>
      </c>
      <c r="N276" s="5" t="str">
        <f t="shared" si="28"/>
        <v>H - 417 x 407 x 30 x 50</v>
      </c>
      <c r="O276" s="25">
        <f t="shared" si="29"/>
        <v>394.14850000000001</v>
      </c>
      <c r="P276" s="6">
        <f t="shared" si="30"/>
        <v>417</v>
      </c>
      <c r="Q276" s="6">
        <f t="shared" si="30"/>
        <v>407</v>
      </c>
      <c r="R276" s="6" cm="1">
        <f t="array" ref="R276">IF(I276-LOOKUP(I276, $Y$4:$Y$26) &lt;= 0.1, LOOKUP(I276, $Y$4:$Y$26), MIN(_xlfn._xlws.FILTER($Y$4:$Y$26, $Y$4:$Y$26&gt;=I276)))</f>
        <v>30</v>
      </c>
      <c r="S276" s="6" cm="1">
        <f t="array" ref="S276">IF(J276-LOOKUP(J276, $Y$4:$Y$26) &lt;= 0.1, LOOKUP(J276, $Y$4:$Y$26), MIN(_xlfn._xlws.FILTER($Y$4:$Y$26, $Y$4:$Y$26&gt;=J276)))</f>
        <v>50</v>
      </c>
    </row>
    <row r="277" spans="1:19" x14ac:dyDescent="0.25">
      <c r="A277" t="s">
        <v>510</v>
      </c>
      <c r="B277" s="11">
        <f t="shared" si="25"/>
        <v>347</v>
      </c>
      <c r="C277" s="11" t="str">
        <f t="shared" si="26"/>
        <v>I W14X347</v>
      </c>
      <c r="D277" s="5" t="s">
        <v>357</v>
      </c>
      <c r="E277" s="5" t="str">
        <f t="shared" si="27"/>
        <v>H - 407 x 404 x 27.18 x 43.69</v>
      </c>
      <c r="F277" s="25">
        <v>346.74127999999996</v>
      </c>
      <c r="G277" s="6">
        <v>407</v>
      </c>
      <c r="H277" s="6">
        <v>404</v>
      </c>
      <c r="I277" s="6">
        <v>27.180000000000003</v>
      </c>
      <c r="J277" s="6">
        <v>43.69</v>
      </c>
      <c r="K277" s="6"/>
      <c r="L277" s="6">
        <v>44193.46</v>
      </c>
      <c r="N277" s="5" t="str">
        <f t="shared" si="28"/>
        <v>H - 407 x 404 x 28 x 45</v>
      </c>
      <c r="O277" s="25">
        <f t="shared" si="29"/>
        <v>355.1026</v>
      </c>
      <c r="P277" s="6">
        <f t="shared" si="30"/>
        <v>407</v>
      </c>
      <c r="Q277" s="6">
        <f t="shared" si="30"/>
        <v>404</v>
      </c>
      <c r="R277" s="6" cm="1">
        <f t="array" ref="R277">IF(I277-LOOKUP(I277, $Y$4:$Y$26) &lt;= 0.1, LOOKUP(I277, $Y$4:$Y$26), MIN(_xlfn._xlws.FILTER($Y$4:$Y$26, $Y$4:$Y$26&gt;=I277)))</f>
        <v>28</v>
      </c>
      <c r="S277" s="6" cm="1">
        <f t="array" ref="S277">IF(J277-LOOKUP(J277, $Y$4:$Y$26) &lt;= 0.1, LOOKUP(J277, $Y$4:$Y$26), MIN(_xlfn._xlws.FILTER($Y$4:$Y$26, $Y$4:$Y$26&gt;=J277)))</f>
        <v>45</v>
      </c>
    </row>
    <row r="278" spans="1:19" x14ac:dyDescent="0.25">
      <c r="A278" t="s">
        <v>510</v>
      </c>
      <c r="B278" s="11">
        <f t="shared" si="25"/>
        <v>314</v>
      </c>
      <c r="C278" s="11" t="str">
        <f t="shared" si="26"/>
        <v>I W14X314</v>
      </c>
      <c r="D278" s="5" t="s">
        <v>358</v>
      </c>
      <c r="E278" s="5" t="str">
        <f t="shared" si="27"/>
        <v>H - 399 x 402 x 24.9 x 39.63</v>
      </c>
      <c r="F278" s="25">
        <v>314.00175999999999</v>
      </c>
      <c r="G278" s="6">
        <v>399</v>
      </c>
      <c r="H278" s="6">
        <v>402</v>
      </c>
      <c r="I278" s="6">
        <v>24.900000000000002</v>
      </c>
      <c r="J278" s="6">
        <v>39.629999999999995</v>
      </c>
      <c r="K278" s="6"/>
      <c r="L278" s="6">
        <v>39999.919999999998</v>
      </c>
      <c r="N278" s="5" t="str">
        <f t="shared" si="28"/>
        <v>H - 399 x 402 x 25 x 40</v>
      </c>
      <c r="O278" s="25">
        <f t="shared" si="29"/>
        <v>315.05975000000001</v>
      </c>
      <c r="P278" s="6">
        <f t="shared" si="30"/>
        <v>399</v>
      </c>
      <c r="Q278" s="6">
        <f t="shared" si="30"/>
        <v>402</v>
      </c>
      <c r="R278" s="6" cm="1">
        <f t="array" ref="R278">IF(I278-LOOKUP(I278, $Y$4:$Y$26) &lt;= 0.1, LOOKUP(I278, $Y$4:$Y$26), MIN(_xlfn._xlws.FILTER($Y$4:$Y$26, $Y$4:$Y$26&gt;=I278)))</f>
        <v>25</v>
      </c>
      <c r="S278" s="6" cm="1">
        <f t="array" ref="S278">IF(J278-LOOKUP(J278, $Y$4:$Y$26) &lt;= 0.1, LOOKUP(J278, $Y$4:$Y$26), MIN(_xlfn._xlws.FILTER($Y$4:$Y$26, $Y$4:$Y$26&gt;=J278)))</f>
        <v>40</v>
      </c>
    </row>
    <row r="279" spans="1:19" x14ac:dyDescent="0.25">
      <c r="A279" t="s">
        <v>510</v>
      </c>
      <c r="B279" s="11">
        <f t="shared" si="25"/>
        <v>287</v>
      </c>
      <c r="C279" s="11" t="str">
        <f t="shared" si="26"/>
        <v>I W14X287</v>
      </c>
      <c r="D279" s="5" t="s">
        <v>359</v>
      </c>
      <c r="E279" s="5" t="str">
        <f t="shared" si="27"/>
        <v>H - 394 x 399 x 22.61 x 36.58</v>
      </c>
      <c r="F279" s="25">
        <v>287.21487999999999</v>
      </c>
      <c r="G279" s="6">
        <v>394</v>
      </c>
      <c r="H279" s="6">
        <v>399</v>
      </c>
      <c r="I279" s="6">
        <v>22.610000000000003</v>
      </c>
      <c r="J279" s="6">
        <v>36.58</v>
      </c>
      <c r="K279" s="6"/>
      <c r="L279" s="6">
        <v>36645.087999999996</v>
      </c>
      <c r="N279" s="5" t="str">
        <f t="shared" si="28"/>
        <v>H - 394 x 399 x 25 x 40</v>
      </c>
      <c r="O279" s="25">
        <f t="shared" si="29"/>
        <v>312.19450000000001</v>
      </c>
      <c r="P279" s="6">
        <f t="shared" si="30"/>
        <v>394</v>
      </c>
      <c r="Q279" s="6">
        <f t="shared" si="30"/>
        <v>399</v>
      </c>
      <c r="R279" s="6" cm="1">
        <f t="array" ref="R279">IF(I279-LOOKUP(I279, $Y$4:$Y$26) &lt;= 0.1, LOOKUP(I279, $Y$4:$Y$26), MIN(_xlfn._xlws.FILTER($Y$4:$Y$26, $Y$4:$Y$26&gt;=I279)))</f>
        <v>25</v>
      </c>
      <c r="S279" s="6" cm="1">
        <f t="array" ref="S279">IF(J279-LOOKUP(J279, $Y$4:$Y$26) &lt;= 0.1, LOOKUP(J279, $Y$4:$Y$26), MIN(_xlfn._xlws.FILTER($Y$4:$Y$26, $Y$4:$Y$26&gt;=J279)))</f>
        <v>40</v>
      </c>
    </row>
    <row r="280" spans="1:19" x14ac:dyDescent="0.25">
      <c r="A280" t="s">
        <v>510</v>
      </c>
      <c r="B280" s="11">
        <f t="shared" si="25"/>
        <v>262</v>
      </c>
      <c r="C280" s="11" t="str">
        <f t="shared" si="26"/>
        <v>I W14X262</v>
      </c>
      <c r="D280" s="5" t="s">
        <v>360</v>
      </c>
      <c r="E280" s="5" t="str">
        <f t="shared" si="27"/>
        <v>H - 387 x 399 x 21.09 x 33.28</v>
      </c>
      <c r="F280" s="25">
        <v>261.91615999999999</v>
      </c>
      <c r="G280" s="6">
        <v>387</v>
      </c>
      <c r="H280" s="6">
        <v>399</v>
      </c>
      <c r="I280" s="6">
        <v>21.09</v>
      </c>
      <c r="J280" s="6">
        <v>33.28</v>
      </c>
      <c r="K280" s="6"/>
      <c r="L280" s="6">
        <v>33419.288</v>
      </c>
      <c r="N280" s="5" t="str">
        <f t="shared" si="28"/>
        <v>H - 387 x 399 x 22 x 35</v>
      </c>
      <c r="O280" s="25">
        <f t="shared" si="29"/>
        <v>273.99639999999999</v>
      </c>
      <c r="P280" s="6">
        <f t="shared" si="30"/>
        <v>387</v>
      </c>
      <c r="Q280" s="6">
        <f t="shared" si="30"/>
        <v>399</v>
      </c>
      <c r="R280" s="6" cm="1">
        <f t="array" ref="R280">IF(I280-LOOKUP(I280, $Y$4:$Y$26) &lt;= 0.1, LOOKUP(I280, $Y$4:$Y$26), MIN(_xlfn._xlws.FILTER($Y$4:$Y$26, $Y$4:$Y$26&gt;=I280)))</f>
        <v>22</v>
      </c>
      <c r="S280" s="6" cm="1">
        <f t="array" ref="S280">IF(J280-LOOKUP(J280, $Y$4:$Y$26) &lt;= 0.1, LOOKUP(J280, $Y$4:$Y$26), MIN(_xlfn._xlws.FILTER($Y$4:$Y$26, $Y$4:$Y$26&gt;=J280)))</f>
        <v>35</v>
      </c>
    </row>
    <row r="281" spans="1:19" x14ac:dyDescent="0.25">
      <c r="A281" t="s">
        <v>510</v>
      </c>
      <c r="B281" s="11">
        <f t="shared" si="25"/>
        <v>237</v>
      </c>
      <c r="C281" s="11" t="str">
        <f t="shared" si="26"/>
        <v>I W14X237</v>
      </c>
      <c r="D281" s="5" t="s">
        <v>361</v>
      </c>
      <c r="E281" s="5" t="str">
        <f t="shared" si="27"/>
        <v>H - 381 x 397 x 18.93 x 30.23</v>
      </c>
      <c r="F281" s="25">
        <v>236.61743999999999</v>
      </c>
      <c r="G281" s="6">
        <v>381</v>
      </c>
      <c r="H281" s="6">
        <v>397</v>
      </c>
      <c r="I281" s="6">
        <v>18.930000000000003</v>
      </c>
      <c r="J281" s="6">
        <v>30.23</v>
      </c>
      <c r="K281" s="6"/>
      <c r="L281" s="6">
        <v>30128.972000000002</v>
      </c>
      <c r="N281" s="5" t="str">
        <f t="shared" si="28"/>
        <v>H - 381 x 397 x 20 x 32</v>
      </c>
      <c r="O281" s="25">
        <f t="shared" si="29"/>
        <v>249.2218</v>
      </c>
      <c r="P281" s="6">
        <f t="shared" si="30"/>
        <v>381</v>
      </c>
      <c r="Q281" s="6">
        <f t="shared" si="30"/>
        <v>397</v>
      </c>
      <c r="R281" s="6" cm="1">
        <f t="array" ref="R281">IF(I281-LOOKUP(I281, $Y$4:$Y$26) &lt;= 0.1, LOOKUP(I281, $Y$4:$Y$26), MIN(_xlfn._xlws.FILTER($Y$4:$Y$26, $Y$4:$Y$26&gt;=I281)))</f>
        <v>20</v>
      </c>
      <c r="S281" s="6" cm="1">
        <f t="array" ref="S281">IF(J281-LOOKUP(J281, $Y$4:$Y$26) &lt;= 0.1, LOOKUP(J281, $Y$4:$Y$26), MIN(_xlfn._xlws.FILTER($Y$4:$Y$26, $Y$4:$Y$26&gt;=J281)))</f>
        <v>32</v>
      </c>
    </row>
    <row r="282" spans="1:19" x14ac:dyDescent="0.25">
      <c r="A282" t="s">
        <v>510</v>
      </c>
      <c r="B282" s="11">
        <f t="shared" si="25"/>
        <v>216</v>
      </c>
      <c r="C282" s="11" t="str">
        <f t="shared" si="26"/>
        <v>I W14X216</v>
      </c>
      <c r="D282" s="5" t="s">
        <v>362</v>
      </c>
      <c r="E282" s="5" t="str">
        <f t="shared" si="27"/>
        <v>H - 376 x 394 x 17.28 x 27.69</v>
      </c>
      <c r="F282" s="25">
        <v>215.78319999999999</v>
      </c>
      <c r="G282" s="6">
        <v>376</v>
      </c>
      <c r="H282" s="6">
        <v>394</v>
      </c>
      <c r="I282" s="6">
        <v>17.28</v>
      </c>
      <c r="J282" s="6">
        <v>27.69</v>
      </c>
      <c r="K282" s="6"/>
      <c r="L282" s="6">
        <v>27548.332000000002</v>
      </c>
      <c r="N282" s="5" t="str">
        <f t="shared" si="28"/>
        <v>H - 376 x 394 x 18 x 28</v>
      </c>
      <c r="O282" s="25">
        <f t="shared" si="29"/>
        <v>218.41839999999999</v>
      </c>
      <c r="P282" s="6">
        <f t="shared" si="30"/>
        <v>376</v>
      </c>
      <c r="Q282" s="6">
        <f t="shared" si="30"/>
        <v>394</v>
      </c>
      <c r="R282" s="6" cm="1">
        <f t="array" ref="R282">IF(I282-LOOKUP(I282, $Y$4:$Y$26) &lt;= 0.1, LOOKUP(I282, $Y$4:$Y$26), MIN(_xlfn._xlws.FILTER($Y$4:$Y$26, $Y$4:$Y$26&gt;=I282)))</f>
        <v>18</v>
      </c>
      <c r="S282" s="6" cm="1">
        <f t="array" ref="S282">IF(J282-LOOKUP(J282, $Y$4:$Y$26) &lt;= 0.1, LOOKUP(J282, $Y$4:$Y$26), MIN(_xlfn._xlws.FILTER($Y$4:$Y$26, $Y$4:$Y$26&gt;=J282)))</f>
        <v>28</v>
      </c>
    </row>
    <row r="283" spans="1:19" x14ac:dyDescent="0.25">
      <c r="A283" t="s">
        <v>510</v>
      </c>
      <c r="B283" s="11">
        <f t="shared" si="25"/>
        <v>196</v>
      </c>
      <c r="C283" s="11" t="str">
        <f t="shared" si="26"/>
        <v>I W14X196</v>
      </c>
      <c r="D283" s="5" t="s">
        <v>363</v>
      </c>
      <c r="E283" s="5" t="str">
        <f t="shared" si="27"/>
        <v>H - 374 x 374 x 16.39 x 26.17</v>
      </c>
      <c r="F283" s="25">
        <v>196.43711999999999</v>
      </c>
      <c r="G283" s="6">
        <v>374</v>
      </c>
      <c r="H283" s="6">
        <v>374</v>
      </c>
      <c r="I283" s="6">
        <v>16.39</v>
      </c>
      <c r="J283" s="6">
        <v>26.17</v>
      </c>
      <c r="K283" s="6"/>
      <c r="L283" s="6">
        <v>25032.207999999995</v>
      </c>
      <c r="N283" s="5" t="str">
        <f t="shared" si="28"/>
        <v>H - 374 x 374 x 18 x 28</v>
      </c>
      <c r="O283" s="25">
        <f t="shared" si="29"/>
        <v>209.34379999999999</v>
      </c>
      <c r="P283" s="6">
        <f t="shared" si="30"/>
        <v>374</v>
      </c>
      <c r="Q283" s="6">
        <f t="shared" si="30"/>
        <v>374</v>
      </c>
      <c r="R283" s="6" cm="1">
        <f t="array" ref="R283">IF(I283-LOOKUP(I283, $Y$4:$Y$26) &lt;= 0.1, LOOKUP(I283, $Y$4:$Y$26), MIN(_xlfn._xlws.FILTER($Y$4:$Y$26, $Y$4:$Y$26&gt;=I283)))</f>
        <v>18</v>
      </c>
      <c r="S283" s="6" cm="1">
        <f t="array" ref="S283">IF(J283-LOOKUP(J283, $Y$4:$Y$26) &lt;= 0.1, LOOKUP(J283, $Y$4:$Y$26), MIN(_xlfn._xlws.FILTER($Y$4:$Y$26, $Y$4:$Y$26&gt;=J283)))</f>
        <v>28</v>
      </c>
    </row>
    <row r="284" spans="1:19" x14ac:dyDescent="0.25">
      <c r="A284" t="s">
        <v>510</v>
      </c>
      <c r="B284" s="11">
        <f t="shared" si="25"/>
        <v>179</v>
      </c>
      <c r="C284" s="11" t="str">
        <f t="shared" si="26"/>
        <v>I W14X179</v>
      </c>
      <c r="D284" s="5" t="s">
        <v>364</v>
      </c>
      <c r="E284" s="5" t="str">
        <f t="shared" si="27"/>
        <v>H - 369 x 374 x 14.99 x 23.88</v>
      </c>
      <c r="F284" s="25">
        <v>178.57919999999999</v>
      </c>
      <c r="G284" s="6">
        <v>369</v>
      </c>
      <c r="H284" s="6">
        <v>374</v>
      </c>
      <c r="I284" s="6">
        <v>14.99</v>
      </c>
      <c r="J284" s="6">
        <v>23.880000000000003</v>
      </c>
      <c r="K284" s="6"/>
      <c r="L284" s="6">
        <v>22774.147999999997</v>
      </c>
      <c r="N284" s="5" t="str">
        <f t="shared" si="28"/>
        <v>H - 369 x 374 x 16 x 25</v>
      </c>
      <c r="O284" s="25">
        <f t="shared" si="29"/>
        <v>186.8614</v>
      </c>
      <c r="P284" s="6">
        <f t="shared" si="30"/>
        <v>369</v>
      </c>
      <c r="Q284" s="6">
        <f t="shared" si="30"/>
        <v>374</v>
      </c>
      <c r="R284" s="6" cm="1">
        <f t="array" ref="R284">IF(I284-LOOKUP(I284, $Y$4:$Y$26) &lt;= 0.1, LOOKUP(I284, $Y$4:$Y$26), MIN(_xlfn._xlws.FILTER($Y$4:$Y$26, $Y$4:$Y$26&gt;=I284)))</f>
        <v>16</v>
      </c>
      <c r="S284" s="6" cm="1">
        <f t="array" ref="S284">IF(J284-LOOKUP(J284, $Y$4:$Y$26) &lt;= 0.1, LOOKUP(J284, $Y$4:$Y$26), MIN(_xlfn._xlws.FILTER($Y$4:$Y$26, $Y$4:$Y$26&gt;=J284)))</f>
        <v>25</v>
      </c>
    </row>
    <row r="285" spans="1:19" x14ac:dyDescent="0.25">
      <c r="A285" t="s">
        <v>510</v>
      </c>
      <c r="B285" s="11">
        <f t="shared" si="25"/>
        <v>162</v>
      </c>
      <c r="C285" s="11" t="str">
        <f t="shared" si="26"/>
        <v>I W14X162</v>
      </c>
      <c r="D285" s="5" t="s">
        <v>365</v>
      </c>
      <c r="E285" s="5" t="str">
        <f t="shared" si="27"/>
        <v>H - 364 x 371 x 13.34 x 21.85</v>
      </c>
      <c r="F285" s="25">
        <v>162.20944</v>
      </c>
      <c r="G285" s="6">
        <v>364</v>
      </c>
      <c r="H285" s="6">
        <v>371</v>
      </c>
      <c r="I285" s="6">
        <v>13.34</v>
      </c>
      <c r="J285" s="6">
        <v>21.85</v>
      </c>
      <c r="K285" s="6"/>
      <c r="L285" s="6">
        <v>20645.12</v>
      </c>
      <c r="N285" s="5" t="str">
        <f t="shared" si="28"/>
        <v>H - 364 x 371 x 14 x 22</v>
      </c>
      <c r="O285" s="25">
        <f t="shared" si="29"/>
        <v>163.31139999999999</v>
      </c>
      <c r="P285" s="6">
        <f t="shared" si="30"/>
        <v>364</v>
      </c>
      <c r="Q285" s="6">
        <f t="shared" si="30"/>
        <v>371</v>
      </c>
      <c r="R285" s="6" cm="1">
        <f t="array" ref="R285">IF(I285-LOOKUP(I285, $Y$4:$Y$26) &lt;= 0.1, LOOKUP(I285, $Y$4:$Y$26), MIN(_xlfn._xlws.FILTER($Y$4:$Y$26, $Y$4:$Y$26&gt;=I285)))</f>
        <v>14</v>
      </c>
      <c r="S285" s="6" cm="1">
        <f t="array" ref="S285">IF(J285-LOOKUP(J285, $Y$4:$Y$26) &lt;= 0.1, LOOKUP(J285, $Y$4:$Y$26), MIN(_xlfn._xlws.FILTER($Y$4:$Y$26, $Y$4:$Y$26&gt;=J285)))</f>
        <v>22</v>
      </c>
    </row>
    <row r="286" spans="1:19" x14ac:dyDescent="0.25">
      <c r="A286" t="s">
        <v>510</v>
      </c>
      <c r="B286" s="11">
        <f t="shared" si="25"/>
        <v>147</v>
      </c>
      <c r="C286" s="11" t="str">
        <f t="shared" si="26"/>
        <v>I W14X147</v>
      </c>
      <c r="D286" s="5" t="s">
        <v>366</v>
      </c>
      <c r="E286" s="5" t="str">
        <f t="shared" si="27"/>
        <v>H - 361 x 371 x 12.32 x 19.82</v>
      </c>
      <c r="F286" s="25">
        <v>147.32783999999998</v>
      </c>
      <c r="G286" s="6">
        <v>361</v>
      </c>
      <c r="H286" s="6">
        <v>371</v>
      </c>
      <c r="I286" s="6">
        <v>12.32</v>
      </c>
      <c r="J286" s="6">
        <v>19.82</v>
      </c>
      <c r="K286" s="6"/>
      <c r="L286" s="6">
        <v>18774.155999999999</v>
      </c>
      <c r="N286" s="5" t="str">
        <f t="shared" si="28"/>
        <v>H - 361 x 371 x 14 x 20</v>
      </c>
      <c r="O286" s="25">
        <f t="shared" si="29"/>
        <v>151.77189999999999</v>
      </c>
      <c r="P286" s="6">
        <f t="shared" si="30"/>
        <v>361</v>
      </c>
      <c r="Q286" s="6">
        <f t="shared" si="30"/>
        <v>371</v>
      </c>
      <c r="R286" s="6" cm="1">
        <f t="array" ref="R286">IF(I286-LOOKUP(I286, $Y$4:$Y$26) &lt;= 0.1, LOOKUP(I286, $Y$4:$Y$26), MIN(_xlfn._xlws.FILTER($Y$4:$Y$26, $Y$4:$Y$26&gt;=I286)))</f>
        <v>14</v>
      </c>
      <c r="S286" s="6" cm="1">
        <f t="array" ref="S286">IF(J286-LOOKUP(J286, $Y$4:$Y$26) &lt;= 0.1, LOOKUP(J286, $Y$4:$Y$26), MIN(_xlfn._xlws.FILTER($Y$4:$Y$26, $Y$4:$Y$26&gt;=J286)))</f>
        <v>20</v>
      </c>
    </row>
    <row r="287" spans="1:19" x14ac:dyDescent="0.25">
      <c r="A287" t="s">
        <v>510</v>
      </c>
      <c r="B287" s="11">
        <f t="shared" si="25"/>
        <v>134</v>
      </c>
      <c r="C287" s="11" t="str">
        <f t="shared" si="26"/>
        <v>I W14X134</v>
      </c>
      <c r="D287" s="5" t="s">
        <v>367</v>
      </c>
      <c r="E287" s="5" t="str">
        <f t="shared" si="27"/>
        <v>H - 356 x 369 x 11.18 x 18.04</v>
      </c>
      <c r="F287" s="25">
        <v>133.93439999999998</v>
      </c>
      <c r="G287" s="6">
        <v>356</v>
      </c>
      <c r="H287" s="6">
        <v>369</v>
      </c>
      <c r="I287" s="6">
        <v>11.18</v>
      </c>
      <c r="J287" s="6">
        <v>18.040000000000003</v>
      </c>
      <c r="K287" s="6"/>
      <c r="L287" s="6">
        <v>17096.739999999998</v>
      </c>
      <c r="N287" s="5" t="str">
        <f t="shared" si="28"/>
        <v>H - 356 x 369 x 12 x 18</v>
      </c>
      <c r="O287" s="25">
        <f t="shared" si="29"/>
        <v>134.42339999999999</v>
      </c>
      <c r="P287" s="6">
        <f t="shared" si="30"/>
        <v>356</v>
      </c>
      <c r="Q287" s="6">
        <f t="shared" si="30"/>
        <v>369</v>
      </c>
      <c r="R287" s="6" cm="1">
        <f t="array" ref="R287">IF(I287-LOOKUP(I287, $Y$4:$Y$26) &lt;= 0.1, LOOKUP(I287, $Y$4:$Y$26), MIN(_xlfn._xlws.FILTER($Y$4:$Y$26, $Y$4:$Y$26&gt;=I287)))</f>
        <v>12</v>
      </c>
      <c r="S287" s="6" cm="1">
        <f t="array" ref="S287">IF(J287-LOOKUP(J287, $Y$4:$Y$26) &lt;= 0.1, LOOKUP(J287, $Y$4:$Y$26), MIN(_xlfn._xlws.FILTER($Y$4:$Y$26, $Y$4:$Y$26&gt;=J287)))</f>
        <v>18</v>
      </c>
    </row>
    <row r="288" spans="1:19" x14ac:dyDescent="0.25">
      <c r="A288" t="s">
        <v>510</v>
      </c>
      <c r="B288" s="11">
        <f t="shared" si="25"/>
        <v>122</v>
      </c>
      <c r="C288" s="11" t="str">
        <f t="shared" si="26"/>
        <v>I W14X122</v>
      </c>
      <c r="D288" s="5" t="s">
        <v>368</v>
      </c>
      <c r="E288" s="5" t="str">
        <f t="shared" si="27"/>
        <v>H - 364 x 257 x 12.96 x 21.72</v>
      </c>
      <c r="F288" s="25">
        <v>122.02911999999999</v>
      </c>
      <c r="G288" s="6">
        <v>364</v>
      </c>
      <c r="H288" s="6">
        <v>257</v>
      </c>
      <c r="I288" s="6">
        <v>12.959999999999999</v>
      </c>
      <c r="J288" s="6">
        <v>21.720000000000002</v>
      </c>
      <c r="K288" s="6"/>
      <c r="L288" s="6">
        <v>15483.839999999998</v>
      </c>
      <c r="N288" s="5" t="str">
        <f t="shared" si="28"/>
        <v>H - 364 x 257 x 14 x 22</v>
      </c>
      <c r="O288" s="25">
        <f t="shared" si="29"/>
        <v>123.9358</v>
      </c>
      <c r="P288" s="6">
        <f t="shared" si="30"/>
        <v>364</v>
      </c>
      <c r="Q288" s="6">
        <f t="shared" si="30"/>
        <v>257</v>
      </c>
      <c r="R288" s="6" cm="1">
        <f t="array" ref="R288">IF(I288-LOOKUP(I288, $Y$4:$Y$26) &lt;= 0.1, LOOKUP(I288, $Y$4:$Y$26), MIN(_xlfn._xlws.FILTER($Y$4:$Y$26, $Y$4:$Y$26&gt;=I288)))</f>
        <v>14</v>
      </c>
      <c r="S288" s="6" cm="1">
        <f t="array" ref="S288">IF(J288-LOOKUP(J288, $Y$4:$Y$26) &lt;= 0.1, LOOKUP(J288, $Y$4:$Y$26), MIN(_xlfn._xlws.FILTER($Y$4:$Y$26, $Y$4:$Y$26&gt;=J288)))</f>
        <v>22</v>
      </c>
    </row>
    <row r="289" spans="1:19" x14ac:dyDescent="0.25">
      <c r="A289" t="s">
        <v>510</v>
      </c>
      <c r="B289" s="11">
        <f t="shared" si="25"/>
        <v>110</v>
      </c>
      <c r="C289" s="11" t="str">
        <f t="shared" si="26"/>
        <v>I W14X110</v>
      </c>
      <c r="D289" s="5" t="s">
        <v>369</v>
      </c>
      <c r="E289" s="5" t="str">
        <f t="shared" si="27"/>
        <v>H - 361 x 257 x 11.43 x 19.94</v>
      </c>
      <c r="F289" s="25">
        <v>110.12384</v>
      </c>
      <c r="G289" s="6">
        <v>361</v>
      </c>
      <c r="H289" s="6">
        <v>257</v>
      </c>
      <c r="I289" s="6">
        <v>11.43</v>
      </c>
      <c r="J289" s="6">
        <v>19.940000000000001</v>
      </c>
      <c r="K289" s="6"/>
      <c r="L289" s="6">
        <v>14064.487999999999</v>
      </c>
      <c r="N289" s="5" t="str">
        <f t="shared" si="28"/>
        <v>H - 361 x 257 x 12 x 20</v>
      </c>
      <c r="O289" s="25">
        <f t="shared" si="29"/>
        <v>110.9362</v>
      </c>
      <c r="P289" s="6">
        <f t="shared" si="30"/>
        <v>361</v>
      </c>
      <c r="Q289" s="6">
        <f t="shared" si="30"/>
        <v>257</v>
      </c>
      <c r="R289" s="6" cm="1">
        <f t="array" ref="R289">IF(I289-LOOKUP(I289, $Y$4:$Y$26) &lt;= 0.1, LOOKUP(I289, $Y$4:$Y$26), MIN(_xlfn._xlws.FILTER($Y$4:$Y$26, $Y$4:$Y$26&gt;=I289)))</f>
        <v>12</v>
      </c>
      <c r="S289" s="6" cm="1">
        <f t="array" ref="S289">IF(J289-LOOKUP(J289, $Y$4:$Y$26) &lt;= 0.1, LOOKUP(J289, $Y$4:$Y$26), MIN(_xlfn._xlws.FILTER($Y$4:$Y$26, $Y$4:$Y$26&gt;=J289)))</f>
        <v>20</v>
      </c>
    </row>
    <row r="290" spans="1:19" x14ac:dyDescent="0.25">
      <c r="A290" t="s">
        <v>510</v>
      </c>
      <c r="B290" s="11">
        <f t="shared" si="25"/>
        <v>101</v>
      </c>
      <c r="C290" s="11" t="str">
        <f t="shared" si="26"/>
        <v>I W14X101</v>
      </c>
      <c r="D290" s="5" t="s">
        <v>370</v>
      </c>
      <c r="E290" s="5" t="str">
        <f t="shared" si="27"/>
        <v>H - 356 x 254 x 10.55 x 18.29</v>
      </c>
      <c r="F290" s="25">
        <v>101.19488</v>
      </c>
      <c r="G290" s="6">
        <v>356</v>
      </c>
      <c r="H290" s="6">
        <v>254</v>
      </c>
      <c r="I290" s="6">
        <v>10.549999999999999</v>
      </c>
      <c r="J290" s="6">
        <v>18.290000000000003</v>
      </c>
      <c r="K290" s="6"/>
      <c r="L290" s="6">
        <v>12903.2</v>
      </c>
      <c r="N290" s="5" t="str">
        <f t="shared" si="28"/>
        <v>H - 356 x 254 x 12 x 20</v>
      </c>
      <c r="O290" s="25">
        <f t="shared" si="29"/>
        <v>109.5232</v>
      </c>
      <c r="P290" s="6">
        <f t="shared" si="30"/>
        <v>356</v>
      </c>
      <c r="Q290" s="6">
        <f t="shared" si="30"/>
        <v>254</v>
      </c>
      <c r="R290" s="6" cm="1">
        <f t="array" ref="R290">IF(I290-LOOKUP(I290, $Y$4:$Y$26) &lt;= 0.1, LOOKUP(I290, $Y$4:$Y$26), MIN(_xlfn._xlws.FILTER($Y$4:$Y$26, $Y$4:$Y$26&gt;=I290)))</f>
        <v>12</v>
      </c>
      <c r="S290" s="6" cm="1">
        <f t="array" ref="S290">IF(J290-LOOKUP(J290, $Y$4:$Y$26) &lt;= 0.1, LOOKUP(J290, $Y$4:$Y$26), MIN(_xlfn._xlws.FILTER($Y$4:$Y$26, $Y$4:$Y$26&gt;=J290)))</f>
        <v>20</v>
      </c>
    </row>
    <row r="291" spans="1:19" x14ac:dyDescent="0.25">
      <c r="A291" t="s">
        <v>510</v>
      </c>
      <c r="B291" s="11">
        <f t="shared" si="25"/>
        <v>91</v>
      </c>
      <c r="C291" s="11" t="str">
        <f t="shared" si="26"/>
        <v>I W14X91</v>
      </c>
      <c r="D291" s="5" t="s">
        <v>371</v>
      </c>
      <c r="E291" s="5" t="str">
        <f t="shared" si="27"/>
        <v>H - 354 x 254 x 9.53 x 16.39</v>
      </c>
      <c r="F291" s="25">
        <v>90.777760000000001</v>
      </c>
      <c r="G291" s="6">
        <v>354</v>
      </c>
      <c r="H291" s="6">
        <v>254</v>
      </c>
      <c r="I291" s="6">
        <v>9.5299999999999994</v>
      </c>
      <c r="J291" s="6">
        <v>16.39</v>
      </c>
      <c r="K291" s="6"/>
      <c r="L291" s="6">
        <v>11548.363999999998</v>
      </c>
      <c r="N291" s="5" t="str">
        <f t="shared" si="28"/>
        <v>H - 354 x 254 x 10 x 18</v>
      </c>
      <c r="O291" s="25">
        <f t="shared" si="29"/>
        <v>96.743399999999994</v>
      </c>
      <c r="P291" s="6">
        <f t="shared" si="30"/>
        <v>354</v>
      </c>
      <c r="Q291" s="6">
        <f t="shared" si="30"/>
        <v>254</v>
      </c>
      <c r="R291" s="6" cm="1">
        <f t="array" ref="R291">IF(I291-LOOKUP(I291, $Y$4:$Y$26) &lt;= 0.1, LOOKUP(I291, $Y$4:$Y$26), MIN(_xlfn._xlws.FILTER($Y$4:$Y$26, $Y$4:$Y$26&gt;=I291)))</f>
        <v>10</v>
      </c>
      <c r="S291" s="6" cm="1">
        <f t="array" ref="S291">IF(J291-LOOKUP(J291, $Y$4:$Y$26) &lt;= 0.1, LOOKUP(J291, $Y$4:$Y$26), MIN(_xlfn._xlws.FILTER($Y$4:$Y$26, $Y$4:$Y$26&gt;=J291)))</f>
        <v>18</v>
      </c>
    </row>
    <row r="292" spans="1:19" x14ac:dyDescent="0.25">
      <c r="A292" t="s">
        <v>510</v>
      </c>
      <c r="B292" s="11">
        <f t="shared" si="25"/>
        <v>79</v>
      </c>
      <c r="C292" s="11" t="str">
        <f t="shared" si="26"/>
        <v>I W14X79</v>
      </c>
      <c r="D292" s="5" t="s">
        <v>372</v>
      </c>
      <c r="E292" s="5" t="str">
        <f t="shared" si="27"/>
        <v>H - 354 x 205 x 9.4 x 16.77</v>
      </c>
      <c r="F292" s="25">
        <v>78.872479999999996</v>
      </c>
      <c r="G292" s="6">
        <v>354</v>
      </c>
      <c r="H292" s="6">
        <v>205</v>
      </c>
      <c r="I292" s="6">
        <v>9.4</v>
      </c>
      <c r="J292" s="6">
        <v>16.770000000000003</v>
      </c>
      <c r="K292" s="6"/>
      <c r="L292" s="6">
        <v>10064.495999999999</v>
      </c>
      <c r="N292" s="5" t="str">
        <f t="shared" si="28"/>
        <v>H - 354 x 205 x 10 x 18</v>
      </c>
      <c r="O292" s="25">
        <f t="shared" si="29"/>
        <v>82.896000000000001</v>
      </c>
      <c r="P292" s="6">
        <f t="shared" si="30"/>
        <v>354</v>
      </c>
      <c r="Q292" s="6">
        <f t="shared" si="30"/>
        <v>205</v>
      </c>
      <c r="R292" s="6" cm="1">
        <f t="array" ref="R292">IF(I292-LOOKUP(I292, $Y$4:$Y$26) &lt;= 0.1, LOOKUP(I292, $Y$4:$Y$26), MIN(_xlfn._xlws.FILTER($Y$4:$Y$26, $Y$4:$Y$26&gt;=I292)))</f>
        <v>10</v>
      </c>
      <c r="S292" s="6" cm="1">
        <f t="array" ref="S292">IF(J292-LOOKUP(J292, $Y$4:$Y$26) &lt;= 0.1, LOOKUP(J292, $Y$4:$Y$26), MIN(_xlfn._xlws.FILTER($Y$4:$Y$26, $Y$4:$Y$26&gt;=J292)))</f>
        <v>18</v>
      </c>
    </row>
    <row r="293" spans="1:19" x14ac:dyDescent="0.25">
      <c r="A293" t="s">
        <v>510</v>
      </c>
      <c r="B293" s="11">
        <f t="shared" si="25"/>
        <v>71</v>
      </c>
      <c r="C293" s="11" t="str">
        <f t="shared" si="26"/>
        <v>I W14X71</v>
      </c>
      <c r="D293" s="5" t="s">
        <v>373</v>
      </c>
      <c r="E293" s="5" t="str">
        <f t="shared" si="27"/>
        <v>H - 351 x 204 x 8.64 x 15.12</v>
      </c>
      <c r="F293" s="25">
        <v>71.43168</v>
      </c>
      <c r="G293" s="6">
        <v>351</v>
      </c>
      <c r="H293" s="6">
        <v>204</v>
      </c>
      <c r="I293" s="6">
        <v>8.64</v>
      </c>
      <c r="J293" s="6">
        <v>15.12</v>
      </c>
      <c r="K293" s="6"/>
      <c r="L293" s="6">
        <v>9096.7559999999994</v>
      </c>
      <c r="N293" s="5" t="str">
        <f t="shared" si="28"/>
        <v>H - 351 x 204 x 10 x 16</v>
      </c>
      <c r="O293" s="25">
        <f t="shared" si="29"/>
        <v>76.286299999999997</v>
      </c>
      <c r="P293" s="6">
        <f t="shared" si="30"/>
        <v>351</v>
      </c>
      <c r="Q293" s="6">
        <f t="shared" si="30"/>
        <v>204</v>
      </c>
      <c r="R293" s="6" cm="1">
        <f t="array" ref="R293">IF(I293-LOOKUP(I293, $Y$4:$Y$26) &lt;= 0.1, LOOKUP(I293, $Y$4:$Y$26), MIN(_xlfn._xlws.FILTER($Y$4:$Y$26, $Y$4:$Y$26&gt;=I293)))</f>
        <v>10</v>
      </c>
      <c r="S293" s="6" cm="1">
        <f t="array" ref="S293">IF(J293-LOOKUP(J293, $Y$4:$Y$26) &lt;= 0.1, LOOKUP(J293, $Y$4:$Y$26), MIN(_xlfn._xlws.FILTER($Y$4:$Y$26, $Y$4:$Y$26&gt;=J293)))</f>
        <v>16</v>
      </c>
    </row>
    <row r="294" spans="1:19" x14ac:dyDescent="0.25">
      <c r="A294" t="s">
        <v>510</v>
      </c>
      <c r="B294" s="11">
        <f t="shared" si="25"/>
        <v>64</v>
      </c>
      <c r="C294" s="11" t="str">
        <f t="shared" si="26"/>
        <v>I W14X64</v>
      </c>
      <c r="D294" s="5" t="s">
        <v>374</v>
      </c>
      <c r="E294" s="5" t="str">
        <f t="shared" si="27"/>
        <v>H - 348 x 204 x 7.75 x 13.47</v>
      </c>
      <c r="F294" s="25">
        <v>63.990879999999997</v>
      </c>
      <c r="G294" s="6">
        <v>348</v>
      </c>
      <c r="H294" s="6">
        <v>204</v>
      </c>
      <c r="I294" s="6">
        <v>7.75</v>
      </c>
      <c r="J294" s="6">
        <v>13.47</v>
      </c>
      <c r="K294" s="6"/>
      <c r="L294" s="6">
        <v>8129.0159999999996</v>
      </c>
      <c r="N294" s="5" t="str">
        <f t="shared" si="28"/>
        <v>H - 348 x 204 x 8 x 14</v>
      </c>
      <c r="O294" s="25">
        <f t="shared" si="29"/>
        <v>64.935199999999995</v>
      </c>
      <c r="P294" s="6">
        <f t="shared" si="30"/>
        <v>348</v>
      </c>
      <c r="Q294" s="6">
        <f t="shared" si="30"/>
        <v>204</v>
      </c>
      <c r="R294" s="6" cm="1">
        <f t="array" ref="R294">IF(I294-LOOKUP(I294, $Y$4:$Y$26) &lt;= 0.1, LOOKUP(I294, $Y$4:$Y$26), MIN(_xlfn._xlws.FILTER($Y$4:$Y$26, $Y$4:$Y$26&gt;=I294)))</f>
        <v>8</v>
      </c>
      <c r="S294" s="6" cm="1">
        <f t="array" ref="S294">IF(J294-LOOKUP(J294, $Y$4:$Y$26) &lt;= 0.1, LOOKUP(J294, $Y$4:$Y$26), MIN(_xlfn._xlws.FILTER($Y$4:$Y$26, $Y$4:$Y$26&gt;=J294)))</f>
        <v>14</v>
      </c>
    </row>
    <row r="295" spans="1:19" x14ac:dyDescent="0.25">
      <c r="A295" t="s">
        <v>510</v>
      </c>
      <c r="B295" s="11">
        <f t="shared" si="25"/>
        <v>57</v>
      </c>
      <c r="C295" s="11" t="str">
        <f t="shared" si="26"/>
        <v>I W14X57</v>
      </c>
      <c r="D295" s="5" t="s">
        <v>375</v>
      </c>
      <c r="E295" s="5" t="str">
        <f t="shared" si="27"/>
        <v>I - 359 x 172 x 7.88 x 13.09</v>
      </c>
      <c r="F295" s="25">
        <v>56.550079999999994</v>
      </c>
      <c r="G295" s="6">
        <v>359</v>
      </c>
      <c r="H295" s="6">
        <v>172</v>
      </c>
      <c r="I295" s="6">
        <v>7.88</v>
      </c>
      <c r="J295" s="6">
        <v>13.09</v>
      </c>
      <c r="K295" s="6"/>
      <c r="L295" s="6">
        <v>7225.7919999999995</v>
      </c>
      <c r="N295" s="5" t="str">
        <f t="shared" si="28"/>
        <v>I - 359 x 172 x 8 x 14</v>
      </c>
      <c r="O295" s="25">
        <f t="shared" si="29"/>
        <v>58.592399999999998</v>
      </c>
      <c r="P295" s="6">
        <f t="shared" si="30"/>
        <v>359</v>
      </c>
      <c r="Q295" s="6">
        <f t="shared" si="30"/>
        <v>172</v>
      </c>
      <c r="R295" s="6" cm="1">
        <f t="array" ref="R295">IF(I295-LOOKUP(I295, $Y$4:$Y$26) &lt;= 0.1, LOOKUP(I295, $Y$4:$Y$26), MIN(_xlfn._xlws.FILTER($Y$4:$Y$26, $Y$4:$Y$26&gt;=I295)))</f>
        <v>8</v>
      </c>
      <c r="S295" s="6" cm="1">
        <f t="array" ref="S295">IF(J295-LOOKUP(J295, $Y$4:$Y$26) &lt;= 0.1, LOOKUP(J295, $Y$4:$Y$26), MIN(_xlfn._xlws.FILTER($Y$4:$Y$26, $Y$4:$Y$26&gt;=J295)))</f>
        <v>14</v>
      </c>
    </row>
    <row r="296" spans="1:19" x14ac:dyDescent="0.25">
      <c r="A296" t="s">
        <v>510</v>
      </c>
      <c r="B296" s="11">
        <f t="shared" si="25"/>
        <v>51</v>
      </c>
      <c r="C296" s="11" t="str">
        <f t="shared" si="26"/>
        <v>I W14X51</v>
      </c>
      <c r="D296" s="5" t="s">
        <v>376</v>
      </c>
      <c r="E296" s="5" t="str">
        <f t="shared" si="27"/>
        <v>I - 356 x 172 x 7.24 x 11.56</v>
      </c>
      <c r="F296" s="25">
        <v>50.597439999999999</v>
      </c>
      <c r="G296" s="6">
        <v>356</v>
      </c>
      <c r="H296" s="6">
        <v>172</v>
      </c>
      <c r="I296" s="6">
        <v>7.24</v>
      </c>
      <c r="J296" s="6">
        <v>11.56</v>
      </c>
      <c r="K296" s="6"/>
      <c r="L296" s="6">
        <v>6451.6</v>
      </c>
      <c r="N296" s="5" t="str">
        <f t="shared" si="28"/>
        <v>I - 356 x 172 x 8 x 12</v>
      </c>
      <c r="O296" s="25">
        <f t="shared" si="29"/>
        <v>53.254399999999997</v>
      </c>
      <c r="P296" s="6">
        <f t="shared" si="30"/>
        <v>356</v>
      </c>
      <c r="Q296" s="6">
        <f t="shared" si="30"/>
        <v>172</v>
      </c>
      <c r="R296" s="6" cm="1">
        <f t="array" ref="R296">IF(I296-LOOKUP(I296, $Y$4:$Y$26) &lt;= 0.1, LOOKUP(I296, $Y$4:$Y$26), MIN(_xlfn._xlws.FILTER($Y$4:$Y$26, $Y$4:$Y$26&gt;=I296)))</f>
        <v>8</v>
      </c>
      <c r="S296" s="6" cm="1">
        <f t="array" ref="S296">IF(J296-LOOKUP(J296, $Y$4:$Y$26) &lt;= 0.1, LOOKUP(J296, $Y$4:$Y$26), MIN(_xlfn._xlws.FILTER($Y$4:$Y$26, $Y$4:$Y$26&gt;=J296)))</f>
        <v>12</v>
      </c>
    </row>
    <row r="297" spans="1:19" x14ac:dyDescent="0.25">
      <c r="A297" t="s">
        <v>510</v>
      </c>
      <c r="B297" s="11">
        <f t="shared" si="25"/>
        <v>45</v>
      </c>
      <c r="C297" s="11" t="str">
        <f t="shared" si="26"/>
        <v>I W14X45</v>
      </c>
      <c r="D297" s="5" t="s">
        <v>377</v>
      </c>
      <c r="E297" s="5" t="str">
        <f t="shared" si="27"/>
        <v>I - 351 x 171 x 6.86 x 9.78</v>
      </c>
      <c r="F297" s="25">
        <v>44.644799999999996</v>
      </c>
      <c r="G297" s="6">
        <v>351</v>
      </c>
      <c r="H297" s="6">
        <v>171</v>
      </c>
      <c r="I297" s="6">
        <v>6.8599999999999994</v>
      </c>
      <c r="J297" s="6">
        <v>9.7799999999999994</v>
      </c>
      <c r="K297" s="6"/>
      <c r="L297" s="6">
        <v>5709.6659999999993</v>
      </c>
      <c r="N297" s="5" t="str">
        <f t="shared" si="28"/>
        <v>I - 351 x 171 x 8 x 10</v>
      </c>
      <c r="O297" s="25">
        <f t="shared" si="29"/>
        <v>47.633800000000001</v>
      </c>
      <c r="P297" s="6">
        <f t="shared" si="30"/>
        <v>351</v>
      </c>
      <c r="Q297" s="6">
        <f t="shared" si="30"/>
        <v>171</v>
      </c>
      <c r="R297" s="6" cm="1">
        <f t="array" ref="R297">IF(I297-LOOKUP(I297, $Y$4:$Y$26) &lt;= 0.1, LOOKUP(I297, $Y$4:$Y$26), MIN(_xlfn._xlws.FILTER($Y$4:$Y$26, $Y$4:$Y$26&gt;=I297)))</f>
        <v>8</v>
      </c>
      <c r="S297" s="6" cm="1">
        <f t="array" ref="S297">IF(J297-LOOKUP(J297, $Y$4:$Y$26) &lt;= 0.1, LOOKUP(J297, $Y$4:$Y$26), MIN(_xlfn._xlws.FILTER($Y$4:$Y$26, $Y$4:$Y$26&gt;=J297)))</f>
        <v>10</v>
      </c>
    </row>
    <row r="298" spans="1:19" x14ac:dyDescent="0.25">
      <c r="A298" t="s">
        <v>510</v>
      </c>
      <c r="B298" s="11">
        <f t="shared" si="25"/>
        <v>39</v>
      </c>
      <c r="C298" s="11" t="str">
        <f t="shared" si="26"/>
        <v>I W14X39</v>
      </c>
      <c r="D298" s="5" t="s">
        <v>378</v>
      </c>
      <c r="E298" s="5" t="str">
        <f t="shared" si="27"/>
        <v>I - 354 x 128 x 6.48 x 10.67</v>
      </c>
      <c r="F298" s="25">
        <v>38.692160000000001</v>
      </c>
      <c r="G298" s="6">
        <v>354</v>
      </c>
      <c r="H298" s="6">
        <v>128</v>
      </c>
      <c r="I298" s="6">
        <v>6.4799999999999995</v>
      </c>
      <c r="J298" s="6">
        <v>10.67</v>
      </c>
      <c r="K298" s="6"/>
      <c r="L298" s="6">
        <v>4961.2804000000006</v>
      </c>
      <c r="N298" s="5" t="str">
        <f t="shared" si="28"/>
        <v>I - 354 x 128 x 8 x 12</v>
      </c>
      <c r="O298" s="25">
        <f t="shared" si="29"/>
        <v>44.839199999999998</v>
      </c>
      <c r="P298" s="6">
        <f t="shared" si="30"/>
        <v>354</v>
      </c>
      <c r="Q298" s="6">
        <f t="shared" si="30"/>
        <v>128</v>
      </c>
      <c r="R298" s="6" cm="1">
        <f t="array" ref="R298">IF(I298-LOOKUP(I298, $Y$4:$Y$26) &lt;= 0.1, LOOKUP(I298, $Y$4:$Y$26), MIN(_xlfn._xlws.FILTER($Y$4:$Y$26, $Y$4:$Y$26&gt;=I298)))</f>
        <v>8</v>
      </c>
      <c r="S298" s="6" cm="1">
        <f t="array" ref="S298">IF(J298-LOOKUP(J298, $Y$4:$Y$26) &lt;= 0.1, LOOKUP(J298, $Y$4:$Y$26), MIN(_xlfn._xlws.FILTER($Y$4:$Y$26, $Y$4:$Y$26&gt;=J298)))</f>
        <v>12</v>
      </c>
    </row>
    <row r="299" spans="1:19" x14ac:dyDescent="0.25">
      <c r="A299" t="s">
        <v>510</v>
      </c>
      <c r="B299" s="11">
        <f t="shared" si="25"/>
        <v>33</v>
      </c>
      <c r="C299" s="11" t="str">
        <f t="shared" si="26"/>
        <v>I W14X33</v>
      </c>
      <c r="D299" s="5" t="s">
        <v>379</v>
      </c>
      <c r="E299" s="5" t="str">
        <f t="shared" si="27"/>
        <v>I - 348 x 127 x 5.85 x 8.51</v>
      </c>
      <c r="F299" s="25">
        <v>32.739519999999999</v>
      </c>
      <c r="G299" s="6">
        <v>348</v>
      </c>
      <c r="H299" s="6">
        <v>127</v>
      </c>
      <c r="I299" s="6">
        <v>5.85</v>
      </c>
      <c r="J299" s="6">
        <v>8.51</v>
      </c>
      <c r="K299" s="6"/>
      <c r="L299" s="6">
        <v>4187.0884000000005</v>
      </c>
      <c r="N299" s="5" t="str">
        <f t="shared" si="28"/>
        <v>I - 348 x 127 x 6 x 10</v>
      </c>
      <c r="O299" s="25">
        <f t="shared" si="29"/>
        <v>35.387799999999999</v>
      </c>
      <c r="P299" s="6">
        <f t="shared" si="30"/>
        <v>348</v>
      </c>
      <c r="Q299" s="6">
        <f t="shared" si="30"/>
        <v>127</v>
      </c>
      <c r="R299" s="6" cm="1">
        <f t="array" ref="R299">IF(I299-LOOKUP(I299, $Y$4:$Y$26) &lt;= 0.1, LOOKUP(I299, $Y$4:$Y$26), MIN(_xlfn._xlws.FILTER($Y$4:$Y$26, $Y$4:$Y$26&gt;=I299)))</f>
        <v>6</v>
      </c>
      <c r="S299" s="6" cm="1">
        <f t="array" ref="S299">IF(J299-LOOKUP(J299, $Y$4:$Y$26) &lt;= 0.1, LOOKUP(J299, $Y$4:$Y$26), MIN(_xlfn._xlws.FILTER($Y$4:$Y$26, $Y$4:$Y$26&gt;=J299)))</f>
        <v>10</v>
      </c>
    </row>
    <row r="300" spans="1:19" x14ac:dyDescent="0.25">
      <c r="A300" t="s">
        <v>511</v>
      </c>
      <c r="B300" s="11">
        <f t="shared" si="25"/>
        <v>500</v>
      </c>
      <c r="C300" s="11" t="str">
        <f t="shared" si="26"/>
        <v>I W12X500</v>
      </c>
      <c r="D300" s="5" t="s">
        <v>380</v>
      </c>
      <c r="E300" s="5" t="str">
        <f t="shared" si="27"/>
        <v>H - 427 x 341 x 45.22 x 75.19</v>
      </c>
      <c r="F300" s="25">
        <v>500.02175999999997</v>
      </c>
      <c r="G300" s="6">
        <v>427</v>
      </c>
      <c r="H300" s="6">
        <v>341</v>
      </c>
      <c r="I300" s="6">
        <v>45.22</v>
      </c>
      <c r="J300" s="6">
        <v>75.190000000000012</v>
      </c>
      <c r="K300" s="6"/>
      <c r="L300" s="6">
        <v>63806.324000000001</v>
      </c>
      <c r="N300" s="5" t="str">
        <f t="shared" si="28"/>
        <v>H - 427 x 341 x 50 x 80</v>
      </c>
      <c r="O300" s="25">
        <f t="shared" si="29"/>
        <v>533.09349999999995</v>
      </c>
      <c r="P300" s="6">
        <f t="shared" si="30"/>
        <v>427</v>
      </c>
      <c r="Q300" s="6">
        <f t="shared" si="30"/>
        <v>341</v>
      </c>
      <c r="R300" s="6" cm="1">
        <f t="array" ref="R300">IF(I300-LOOKUP(I300, $Y$4:$Y$26) &lt;= 0.1, LOOKUP(I300, $Y$4:$Y$26), MIN(_xlfn._xlws.FILTER($Y$4:$Y$26, $Y$4:$Y$26&gt;=I300)))</f>
        <v>50</v>
      </c>
      <c r="S300" s="6" cm="1">
        <f t="array" ref="S300">IF(J300-LOOKUP(J300, $Y$4:$Y$26) &lt;= 0.1, LOOKUP(J300, $Y$4:$Y$26), MIN(_xlfn._xlws.FILTER($Y$4:$Y$26, $Y$4:$Y$26&gt;=J300)))</f>
        <v>80</v>
      </c>
    </row>
    <row r="301" spans="1:19" x14ac:dyDescent="0.25">
      <c r="A301" t="s">
        <v>511</v>
      </c>
      <c r="B301" s="11">
        <f t="shared" si="25"/>
        <v>454</v>
      </c>
      <c r="C301" s="11" t="str">
        <f t="shared" si="26"/>
        <v>I W12X454</v>
      </c>
      <c r="D301" s="5" t="s">
        <v>381</v>
      </c>
      <c r="E301" s="5" t="str">
        <f t="shared" si="27"/>
        <v>H - 415 x 336 x 41.41 x 68.84</v>
      </c>
      <c r="F301" s="25">
        <v>453.8888</v>
      </c>
      <c r="G301" s="6">
        <v>415</v>
      </c>
      <c r="H301" s="6">
        <v>336</v>
      </c>
      <c r="I301" s="6">
        <v>41.41</v>
      </c>
      <c r="J301" s="6">
        <v>68.84</v>
      </c>
      <c r="K301" s="6"/>
      <c r="L301" s="6">
        <v>57741.82</v>
      </c>
      <c r="N301" s="5" t="str">
        <f t="shared" si="28"/>
        <v>H - 415 x 336 x 45 x 70</v>
      </c>
      <c r="O301" s="25">
        <f t="shared" si="29"/>
        <v>466.40775000000002</v>
      </c>
      <c r="P301" s="6">
        <f t="shared" si="30"/>
        <v>415</v>
      </c>
      <c r="Q301" s="6">
        <f t="shared" si="30"/>
        <v>336</v>
      </c>
      <c r="R301" s="6" cm="1">
        <f t="array" ref="R301">IF(I301-LOOKUP(I301, $Y$4:$Y$26) &lt;= 0.1, LOOKUP(I301, $Y$4:$Y$26), MIN(_xlfn._xlws.FILTER($Y$4:$Y$26, $Y$4:$Y$26&gt;=I301)))</f>
        <v>45</v>
      </c>
      <c r="S301" s="6" cm="1">
        <f t="array" ref="S301">IF(J301-LOOKUP(J301, $Y$4:$Y$26) &lt;= 0.1, LOOKUP(J301, $Y$4:$Y$26), MIN(_xlfn._xlws.FILTER($Y$4:$Y$26, $Y$4:$Y$26&gt;=J301)))</f>
        <v>70</v>
      </c>
    </row>
    <row r="302" spans="1:19" x14ac:dyDescent="0.25">
      <c r="A302" t="s">
        <v>511</v>
      </c>
      <c r="B302" s="11">
        <f t="shared" si="25"/>
        <v>415</v>
      </c>
      <c r="C302" s="11" t="str">
        <f t="shared" si="26"/>
        <v>I W12X415</v>
      </c>
      <c r="D302" s="5" t="s">
        <v>382</v>
      </c>
      <c r="E302" s="5" t="str">
        <f t="shared" si="27"/>
        <v>H - 404 x 333 x 38.87 x 62.74</v>
      </c>
      <c r="F302" s="25">
        <v>415.19664</v>
      </c>
      <c r="G302" s="6">
        <v>404</v>
      </c>
      <c r="H302" s="6">
        <v>333</v>
      </c>
      <c r="I302" s="6">
        <v>38.869999999999997</v>
      </c>
      <c r="J302" s="6">
        <v>62.739999999999995</v>
      </c>
      <c r="K302" s="6"/>
      <c r="L302" s="6">
        <v>52838.604000000007</v>
      </c>
      <c r="N302" s="5" t="str">
        <f t="shared" si="28"/>
        <v>H - 404 x 333 x 40 x 70</v>
      </c>
      <c r="O302" s="25">
        <f t="shared" si="29"/>
        <v>448.863</v>
      </c>
      <c r="P302" s="6">
        <f t="shared" si="30"/>
        <v>404</v>
      </c>
      <c r="Q302" s="6">
        <f t="shared" si="30"/>
        <v>333</v>
      </c>
      <c r="R302" s="6" cm="1">
        <f t="array" ref="R302">IF(I302-LOOKUP(I302, $Y$4:$Y$26) &lt;= 0.1, LOOKUP(I302, $Y$4:$Y$26), MIN(_xlfn._xlws.FILTER($Y$4:$Y$26, $Y$4:$Y$26&gt;=I302)))</f>
        <v>40</v>
      </c>
      <c r="S302" s="6" cm="1">
        <f t="array" ref="S302">IF(J302-LOOKUP(J302, $Y$4:$Y$26) &lt;= 0.1, LOOKUP(J302, $Y$4:$Y$26), MIN(_xlfn._xlws.FILTER($Y$4:$Y$26, $Y$4:$Y$26&gt;=J302)))</f>
        <v>70</v>
      </c>
    </row>
    <row r="303" spans="1:19" x14ac:dyDescent="0.25">
      <c r="A303" t="s">
        <v>511</v>
      </c>
      <c r="B303" s="11">
        <f t="shared" si="25"/>
        <v>375</v>
      </c>
      <c r="C303" s="11" t="str">
        <f t="shared" si="26"/>
        <v>I W12X375</v>
      </c>
      <c r="D303" s="5" t="s">
        <v>383</v>
      </c>
      <c r="E303" s="5" t="str">
        <f t="shared" si="27"/>
        <v>H - 392 x 331 x 35.56 x 57.15</v>
      </c>
      <c r="F303" s="25">
        <v>375.01632000000001</v>
      </c>
      <c r="G303" s="6">
        <v>392</v>
      </c>
      <c r="H303" s="6">
        <v>331</v>
      </c>
      <c r="I303" s="6">
        <v>35.56</v>
      </c>
      <c r="J303" s="6">
        <v>57.15</v>
      </c>
      <c r="K303" s="6"/>
      <c r="L303" s="6">
        <v>47806.355999999992</v>
      </c>
      <c r="N303" s="5" t="str">
        <f t="shared" si="28"/>
        <v>H - 392 x 331 x 40 x 60</v>
      </c>
      <c r="O303" s="25">
        <f t="shared" si="29"/>
        <v>397.21</v>
      </c>
      <c r="P303" s="6">
        <f t="shared" si="30"/>
        <v>392</v>
      </c>
      <c r="Q303" s="6">
        <f t="shared" si="30"/>
        <v>331</v>
      </c>
      <c r="R303" s="6" cm="1">
        <f t="array" ref="R303">IF(I303-LOOKUP(I303, $Y$4:$Y$26) &lt;= 0.1, LOOKUP(I303, $Y$4:$Y$26), MIN(_xlfn._xlws.FILTER($Y$4:$Y$26, $Y$4:$Y$26&gt;=I303)))</f>
        <v>40</v>
      </c>
      <c r="S303" s="6" cm="1">
        <f t="array" ref="S303">IF(J303-LOOKUP(J303, $Y$4:$Y$26) &lt;= 0.1, LOOKUP(J303, $Y$4:$Y$26), MIN(_xlfn._xlws.FILTER($Y$4:$Y$26, $Y$4:$Y$26&gt;=J303)))</f>
        <v>60</v>
      </c>
    </row>
    <row r="304" spans="1:19" x14ac:dyDescent="0.25">
      <c r="A304" t="s">
        <v>511</v>
      </c>
      <c r="B304" s="11">
        <f t="shared" si="25"/>
        <v>342</v>
      </c>
      <c r="C304" s="11" t="str">
        <f t="shared" si="26"/>
        <v>I W12X342</v>
      </c>
      <c r="D304" s="5" t="s">
        <v>384</v>
      </c>
      <c r="E304" s="5" t="str">
        <f t="shared" si="27"/>
        <v>H - 384 x 328 x 32.77 x 52.58</v>
      </c>
      <c r="F304" s="25">
        <v>342.27679999999998</v>
      </c>
      <c r="G304" s="6">
        <v>384</v>
      </c>
      <c r="H304" s="6">
        <v>328</v>
      </c>
      <c r="I304" s="6">
        <v>32.769999999999996</v>
      </c>
      <c r="J304" s="6">
        <v>52.58</v>
      </c>
      <c r="K304" s="6"/>
      <c r="L304" s="6">
        <v>43677.332000000002</v>
      </c>
      <c r="N304" s="5" t="str">
        <f t="shared" si="28"/>
        <v>H - 384 x 328 x 35 x 60</v>
      </c>
      <c r="O304" s="25">
        <f t="shared" si="29"/>
        <v>381.51</v>
      </c>
      <c r="P304" s="6">
        <f t="shared" si="30"/>
        <v>384</v>
      </c>
      <c r="Q304" s="6">
        <f t="shared" si="30"/>
        <v>328</v>
      </c>
      <c r="R304" s="6" cm="1">
        <f t="array" ref="R304">IF(I304-LOOKUP(I304, $Y$4:$Y$26) &lt;= 0.1, LOOKUP(I304, $Y$4:$Y$26), MIN(_xlfn._xlws.FILTER($Y$4:$Y$26, $Y$4:$Y$26&gt;=I304)))</f>
        <v>35</v>
      </c>
      <c r="S304" s="6" cm="1">
        <f t="array" ref="S304">IF(J304-LOOKUP(J304, $Y$4:$Y$26) &lt;= 0.1, LOOKUP(J304, $Y$4:$Y$26), MIN(_xlfn._xlws.FILTER($Y$4:$Y$26, $Y$4:$Y$26&gt;=J304)))</f>
        <v>60</v>
      </c>
    </row>
    <row r="305" spans="1:19" x14ac:dyDescent="0.25">
      <c r="A305" t="s">
        <v>511</v>
      </c>
      <c r="B305" s="11">
        <f t="shared" si="25"/>
        <v>313</v>
      </c>
      <c r="C305" s="11" t="str">
        <f t="shared" si="26"/>
        <v>I W12X313</v>
      </c>
      <c r="D305" s="5" t="s">
        <v>385</v>
      </c>
      <c r="E305" s="5" t="str">
        <f t="shared" si="27"/>
        <v>H - 374 x 326 x 29.98 x 48.26</v>
      </c>
      <c r="F305" s="25">
        <v>312.5136</v>
      </c>
      <c r="G305" s="6">
        <v>374</v>
      </c>
      <c r="H305" s="6">
        <v>326</v>
      </c>
      <c r="I305" s="6">
        <v>29.98</v>
      </c>
      <c r="J305" s="6">
        <v>48.26</v>
      </c>
      <c r="K305" s="6"/>
      <c r="L305" s="6">
        <v>39870.887999999999</v>
      </c>
      <c r="N305" s="5" t="str">
        <f t="shared" si="28"/>
        <v>H - 374 x 326 x 30 x 50</v>
      </c>
      <c r="O305" s="25">
        <f t="shared" si="29"/>
        <v>320.43700000000001</v>
      </c>
      <c r="P305" s="6">
        <f t="shared" si="30"/>
        <v>374</v>
      </c>
      <c r="Q305" s="6">
        <f t="shared" si="30"/>
        <v>326</v>
      </c>
      <c r="R305" s="6" cm="1">
        <f t="array" ref="R305">IF(I305-LOOKUP(I305, $Y$4:$Y$26) &lt;= 0.1, LOOKUP(I305, $Y$4:$Y$26), MIN(_xlfn._xlws.FILTER($Y$4:$Y$26, $Y$4:$Y$26&gt;=I305)))</f>
        <v>30</v>
      </c>
      <c r="S305" s="6" cm="1">
        <f t="array" ref="S305">IF(J305-LOOKUP(J305, $Y$4:$Y$26) &lt;= 0.1, LOOKUP(J305, $Y$4:$Y$26), MIN(_xlfn._xlws.FILTER($Y$4:$Y$26, $Y$4:$Y$26&gt;=J305)))</f>
        <v>50</v>
      </c>
    </row>
    <row r="306" spans="1:19" x14ac:dyDescent="0.25">
      <c r="A306" t="s">
        <v>511</v>
      </c>
      <c r="B306" s="11">
        <f t="shared" si="25"/>
        <v>283</v>
      </c>
      <c r="C306" s="11" t="str">
        <f t="shared" si="26"/>
        <v>I W12X283</v>
      </c>
      <c r="D306" s="5" t="s">
        <v>386</v>
      </c>
      <c r="E306" s="5" t="str">
        <f t="shared" si="27"/>
        <v>H - 366 x 323 x 26.93 x 44.2</v>
      </c>
      <c r="F306" s="25">
        <v>282.75040000000001</v>
      </c>
      <c r="G306" s="6">
        <v>366</v>
      </c>
      <c r="H306" s="6">
        <v>323</v>
      </c>
      <c r="I306" s="6">
        <v>26.930000000000003</v>
      </c>
      <c r="J306" s="6">
        <v>44.199999999999996</v>
      </c>
      <c r="K306" s="6"/>
      <c r="L306" s="6">
        <v>36128.959999999999</v>
      </c>
      <c r="N306" s="5" t="str">
        <f t="shared" si="28"/>
        <v>H - 366 x 323 x 28 x 45</v>
      </c>
      <c r="O306" s="25">
        <f t="shared" si="29"/>
        <v>288.86430000000001</v>
      </c>
      <c r="P306" s="6">
        <f t="shared" si="30"/>
        <v>366</v>
      </c>
      <c r="Q306" s="6">
        <f t="shared" si="30"/>
        <v>323</v>
      </c>
      <c r="R306" s="6" cm="1">
        <f t="array" ref="R306">IF(I306-LOOKUP(I306, $Y$4:$Y$26) &lt;= 0.1, LOOKUP(I306, $Y$4:$Y$26), MIN(_xlfn._xlws.FILTER($Y$4:$Y$26, $Y$4:$Y$26&gt;=I306)))</f>
        <v>28</v>
      </c>
      <c r="S306" s="6" cm="1">
        <f t="array" ref="S306">IF(J306-LOOKUP(J306, $Y$4:$Y$26) &lt;= 0.1, LOOKUP(J306, $Y$4:$Y$26), MIN(_xlfn._xlws.FILTER($Y$4:$Y$26, $Y$4:$Y$26&gt;=J306)))</f>
        <v>45</v>
      </c>
    </row>
    <row r="307" spans="1:19" x14ac:dyDescent="0.25">
      <c r="A307" t="s">
        <v>511</v>
      </c>
      <c r="B307" s="11">
        <f t="shared" si="25"/>
        <v>253</v>
      </c>
      <c r="C307" s="11" t="str">
        <f t="shared" si="26"/>
        <v>I W12X253</v>
      </c>
      <c r="D307" s="5" t="s">
        <v>387</v>
      </c>
      <c r="E307" s="5" t="str">
        <f t="shared" si="27"/>
        <v>H - 356 x 321 x 24.39 x 39.63</v>
      </c>
      <c r="F307" s="25">
        <v>252.9872</v>
      </c>
      <c r="G307" s="6">
        <v>356</v>
      </c>
      <c r="H307" s="6">
        <v>321</v>
      </c>
      <c r="I307" s="6">
        <v>24.39</v>
      </c>
      <c r="J307" s="6">
        <v>39.629999999999995</v>
      </c>
      <c r="K307" s="6"/>
      <c r="L307" s="6">
        <v>32258.000000000004</v>
      </c>
      <c r="N307" s="5" t="str">
        <f t="shared" si="28"/>
        <v>H - 356 x 321 x 25 x 40</v>
      </c>
      <c r="O307" s="25">
        <f t="shared" si="29"/>
        <v>255.75299999999999</v>
      </c>
      <c r="P307" s="6">
        <f t="shared" si="30"/>
        <v>356</v>
      </c>
      <c r="Q307" s="6">
        <f t="shared" si="30"/>
        <v>321</v>
      </c>
      <c r="R307" s="6" cm="1">
        <f t="array" ref="R307">IF(I307-LOOKUP(I307, $Y$4:$Y$26) &lt;= 0.1, LOOKUP(I307, $Y$4:$Y$26), MIN(_xlfn._xlws.FILTER($Y$4:$Y$26, $Y$4:$Y$26&gt;=I307)))</f>
        <v>25</v>
      </c>
      <c r="S307" s="6" cm="1">
        <f t="array" ref="S307">IF(J307-LOOKUP(J307, $Y$4:$Y$26) &lt;= 0.1, LOOKUP(J307, $Y$4:$Y$26), MIN(_xlfn._xlws.FILTER($Y$4:$Y$26, $Y$4:$Y$26&gt;=J307)))</f>
        <v>40</v>
      </c>
    </row>
    <row r="308" spans="1:19" x14ac:dyDescent="0.25">
      <c r="A308" t="s">
        <v>511</v>
      </c>
      <c r="B308" s="11">
        <f t="shared" si="25"/>
        <v>226</v>
      </c>
      <c r="C308" s="11" t="str">
        <f t="shared" si="26"/>
        <v>I W12X226</v>
      </c>
      <c r="D308" s="5" t="s">
        <v>388</v>
      </c>
      <c r="E308" s="5" t="str">
        <f t="shared" si="27"/>
        <v>H - 348 x 318 x 22.1 x 35.56</v>
      </c>
      <c r="F308" s="25">
        <v>226.20031999999998</v>
      </c>
      <c r="G308" s="6">
        <v>348</v>
      </c>
      <c r="H308" s="6">
        <v>318</v>
      </c>
      <c r="I308" s="6">
        <v>22.1</v>
      </c>
      <c r="J308" s="6">
        <v>35.56</v>
      </c>
      <c r="K308" s="6"/>
      <c r="L308" s="6">
        <v>28838.651999999998</v>
      </c>
      <c r="N308" s="5" t="str">
        <f t="shared" si="28"/>
        <v>H - 348 x 318 x 25 x 40</v>
      </c>
      <c r="O308" s="25">
        <f t="shared" si="29"/>
        <v>252.29900000000001</v>
      </c>
      <c r="P308" s="6">
        <f t="shared" si="30"/>
        <v>348</v>
      </c>
      <c r="Q308" s="6">
        <f t="shared" si="30"/>
        <v>318</v>
      </c>
      <c r="R308" s="6" cm="1">
        <f t="array" ref="R308">IF(I308-LOOKUP(I308, $Y$4:$Y$26) &lt;= 0.1, LOOKUP(I308, $Y$4:$Y$26), MIN(_xlfn._xlws.FILTER($Y$4:$Y$26, $Y$4:$Y$26&gt;=I308)))</f>
        <v>25</v>
      </c>
      <c r="S308" s="6" cm="1">
        <f t="array" ref="S308">IF(J308-LOOKUP(J308, $Y$4:$Y$26) &lt;= 0.1, LOOKUP(J308, $Y$4:$Y$26), MIN(_xlfn._xlws.FILTER($Y$4:$Y$26, $Y$4:$Y$26&gt;=J308)))</f>
        <v>40</v>
      </c>
    </row>
    <row r="309" spans="1:19" x14ac:dyDescent="0.25">
      <c r="A309" t="s">
        <v>511</v>
      </c>
      <c r="B309" s="11">
        <f t="shared" si="25"/>
        <v>202</v>
      </c>
      <c r="C309" s="11" t="str">
        <f t="shared" si="26"/>
        <v>I W12X202</v>
      </c>
      <c r="D309" s="5" t="s">
        <v>389</v>
      </c>
      <c r="E309" s="5" t="str">
        <f t="shared" si="27"/>
        <v>H - 341 x 315 x 20.07 x 31.75</v>
      </c>
      <c r="F309" s="25">
        <v>202.38976</v>
      </c>
      <c r="G309" s="6">
        <v>341</v>
      </c>
      <c r="H309" s="6">
        <v>315</v>
      </c>
      <c r="I309" s="6">
        <v>20.07</v>
      </c>
      <c r="J309" s="6">
        <v>31.75</v>
      </c>
      <c r="K309" s="6"/>
      <c r="L309" s="6">
        <v>25741.883999999998</v>
      </c>
      <c r="N309" s="5" t="str">
        <f t="shared" si="28"/>
        <v>H - 341 x 315 x 20 x 32</v>
      </c>
      <c r="O309" s="25">
        <f t="shared" si="29"/>
        <v>201.745</v>
      </c>
      <c r="P309" s="6">
        <f t="shared" si="30"/>
        <v>341</v>
      </c>
      <c r="Q309" s="6">
        <f t="shared" si="30"/>
        <v>315</v>
      </c>
      <c r="R309" s="6" cm="1">
        <f t="array" ref="R309">IF(I309-LOOKUP(I309, $Y$4:$Y$26) &lt;= 0.1, LOOKUP(I309, $Y$4:$Y$26), MIN(_xlfn._xlws.FILTER($Y$4:$Y$26, $Y$4:$Y$26&gt;=I309)))</f>
        <v>20</v>
      </c>
      <c r="S309" s="6" cm="1">
        <f t="array" ref="S309">IF(J309-LOOKUP(J309, $Y$4:$Y$26) &lt;= 0.1, LOOKUP(J309, $Y$4:$Y$26), MIN(_xlfn._xlws.FILTER($Y$4:$Y$26, $Y$4:$Y$26&gt;=J309)))</f>
        <v>32</v>
      </c>
    </row>
    <row r="310" spans="1:19" x14ac:dyDescent="0.25">
      <c r="A310" t="s">
        <v>511</v>
      </c>
      <c r="B310" s="11">
        <f t="shared" si="25"/>
        <v>179</v>
      </c>
      <c r="C310" s="11" t="str">
        <f t="shared" si="26"/>
        <v>I W12X179</v>
      </c>
      <c r="D310" s="5" t="s">
        <v>390</v>
      </c>
      <c r="E310" s="5" t="str">
        <f t="shared" si="27"/>
        <v>H - 333 x 313 x 18.04 x 28.2</v>
      </c>
      <c r="F310" s="25">
        <v>178.57919999999999</v>
      </c>
      <c r="G310" s="6">
        <v>333</v>
      </c>
      <c r="H310" s="6">
        <v>313</v>
      </c>
      <c r="I310" s="6">
        <v>18.040000000000003</v>
      </c>
      <c r="J310" s="6">
        <v>28.200000000000003</v>
      </c>
      <c r="K310" s="6"/>
      <c r="L310" s="6">
        <v>22709.632000000001</v>
      </c>
      <c r="N310" s="5" t="str">
        <f t="shared" si="28"/>
        <v>H - 333 x 313 x 18 x 30</v>
      </c>
      <c r="O310" s="25">
        <f t="shared" si="29"/>
        <v>185.99789999999999</v>
      </c>
      <c r="P310" s="6">
        <f t="shared" si="30"/>
        <v>333</v>
      </c>
      <c r="Q310" s="6">
        <f t="shared" si="30"/>
        <v>313</v>
      </c>
      <c r="R310" s="6" cm="1">
        <f t="array" ref="R310">IF(I310-LOOKUP(I310, $Y$4:$Y$26) &lt;= 0.1, LOOKUP(I310, $Y$4:$Y$26), MIN(_xlfn._xlws.FILTER($Y$4:$Y$26, $Y$4:$Y$26&gt;=I310)))</f>
        <v>18</v>
      </c>
      <c r="S310" s="6" cm="1">
        <f t="array" ref="S310">IF(J310-LOOKUP(J310, $Y$4:$Y$26) &lt;= 0.1, LOOKUP(J310, $Y$4:$Y$26), MIN(_xlfn._xlws.FILTER($Y$4:$Y$26, $Y$4:$Y$26&gt;=J310)))</f>
        <v>30</v>
      </c>
    </row>
    <row r="311" spans="1:19" x14ac:dyDescent="0.25">
      <c r="A311" t="s">
        <v>511</v>
      </c>
      <c r="B311" s="11">
        <f t="shared" si="25"/>
        <v>158</v>
      </c>
      <c r="C311" s="11" t="str">
        <f t="shared" si="26"/>
        <v>I W12X158</v>
      </c>
      <c r="D311" s="5" t="s">
        <v>391</v>
      </c>
      <c r="E311" s="5" t="str">
        <f t="shared" si="27"/>
        <v>H - 328 x 310 x 15.5 x 25.15</v>
      </c>
      <c r="F311" s="25">
        <v>157.74495999999999</v>
      </c>
      <c r="G311" s="6">
        <v>328</v>
      </c>
      <c r="H311" s="6">
        <v>310</v>
      </c>
      <c r="I311" s="6">
        <v>15.5</v>
      </c>
      <c r="J311" s="6">
        <v>25.150000000000002</v>
      </c>
      <c r="K311" s="6"/>
      <c r="L311" s="6">
        <v>20128.991999999998</v>
      </c>
      <c r="N311" s="5" t="str">
        <f t="shared" si="28"/>
        <v>H - 328 x 310 x 16 x 28</v>
      </c>
      <c r="O311" s="25">
        <f t="shared" si="29"/>
        <v>170.4392</v>
      </c>
      <c r="P311" s="6">
        <f t="shared" si="30"/>
        <v>328</v>
      </c>
      <c r="Q311" s="6">
        <f t="shared" si="30"/>
        <v>310</v>
      </c>
      <c r="R311" s="6" cm="1">
        <f t="array" ref="R311">IF(I311-LOOKUP(I311, $Y$4:$Y$26) &lt;= 0.1, LOOKUP(I311, $Y$4:$Y$26), MIN(_xlfn._xlws.FILTER($Y$4:$Y$26, $Y$4:$Y$26&gt;=I311)))</f>
        <v>16</v>
      </c>
      <c r="S311" s="6" cm="1">
        <f t="array" ref="S311">IF(J311-LOOKUP(J311, $Y$4:$Y$26) &lt;= 0.1, LOOKUP(J311, $Y$4:$Y$26), MIN(_xlfn._xlws.FILTER($Y$4:$Y$26, $Y$4:$Y$26&gt;=J311)))</f>
        <v>28</v>
      </c>
    </row>
    <row r="312" spans="1:19" x14ac:dyDescent="0.25">
      <c r="A312" t="s">
        <v>511</v>
      </c>
      <c r="B312" s="11">
        <f t="shared" si="25"/>
        <v>143</v>
      </c>
      <c r="C312" s="11" t="str">
        <f t="shared" si="26"/>
        <v>I W12X143</v>
      </c>
      <c r="D312" s="5" t="s">
        <v>392</v>
      </c>
      <c r="E312" s="5" t="str">
        <f t="shared" si="27"/>
        <v>H - 323 x 310 x 13.97 x 22.86</v>
      </c>
      <c r="F312" s="25">
        <v>142.86336</v>
      </c>
      <c r="G312" s="6">
        <v>323</v>
      </c>
      <c r="H312" s="6">
        <v>310</v>
      </c>
      <c r="I312" s="6">
        <v>13.97</v>
      </c>
      <c r="J312" s="6">
        <v>22.86</v>
      </c>
      <c r="K312" s="6"/>
      <c r="L312" s="6">
        <v>18193.511999999999</v>
      </c>
      <c r="N312" s="5" t="str">
        <f t="shared" si="28"/>
        <v>H - 323 x 310 x 14 x 25</v>
      </c>
      <c r="O312" s="25">
        <f t="shared" si="29"/>
        <v>151.67769999999999</v>
      </c>
      <c r="P312" s="6">
        <f t="shared" si="30"/>
        <v>323</v>
      </c>
      <c r="Q312" s="6">
        <f t="shared" si="30"/>
        <v>310</v>
      </c>
      <c r="R312" s="6" cm="1">
        <f t="array" ref="R312">IF(I312-LOOKUP(I312, $Y$4:$Y$26) &lt;= 0.1, LOOKUP(I312, $Y$4:$Y$26), MIN(_xlfn._xlws.FILTER($Y$4:$Y$26, $Y$4:$Y$26&gt;=I312)))</f>
        <v>14</v>
      </c>
      <c r="S312" s="6" cm="1">
        <f t="array" ref="S312">IF(J312-LOOKUP(J312, $Y$4:$Y$26) &lt;= 0.1, LOOKUP(J312, $Y$4:$Y$26), MIN(_xlfn._xlws.FILTER($Y$4:$Y$26, $Y$4:$Y$26&gt;=J312)))</f>
        <v>25</v>
      </c>
    </row>
    <row r="313" spans="1:19" x14ac:dyDescent="0.25">
      <c r="A313" t="s">
        <v>511</v>
      </c>
      <c r="B313" s="11">
        <f t="shared" si="25"/>
        <v>129</v>
      </c>
      <c r="C313" s="11" t="str">
        <f t="shared" si="26"/>
        <v>I W12X129</v>
      </c>
      <c r="D313" s="5" t="s">
        <v>393</v>
      </c>
      <c r="E313" s="5" t="str">
        <f t="shared" si="27"/>
        <v>H - 318 x 308 x 13.09 x 20.58</v>
      </c>
      <c r="F313" s="25">
        <v>129.46992</v>
      </c>
      <c r="G313" s="6">
        <v>318</v>
      </c>
      <c r="H313" s="6">
        <v>308</v>
      </c>
      <c r="I313" s="6">
        <v>13.09</v>
      </c>
      <c r="J313" s="6">
        <v>20.580000000000002</v>
      </c>
      <c r="K313" s="6"/>
      <c r="L313" s="6">
        <v>16516.096000000001</v>
      </c>
      <c r="N313" s="5" t="str">
        <f t="shared" si="28"/>
        <v>H - 318 x 308 x 14 x 22</v>
      </c>
      <c r="O313" s="25">
        <f t="shared" si="29"/>
        <v>136.4958</v>
      </c>
      <c r="P313" s="6">
        <f t="shared" si="30"/>
        <v>318</v>
      </c>
      <c r="Q313" s="6">
        <f t="shared" si="30"/>
        <v>308</v>
      </c>
      <c r="R313" s="6" cm="1">
        <f t="array" ref="R313">IF(I313-LOOKUP(I313, $Y$4:$Y$26) &lt;= 0.1, LOOKUP(I313, $Y$4:$Y$26), MIN(_xlfn._xlws.FILTER($Y$4:$Y$26, $Y$4:$Y$26&gt;=I313)))</f>
        <v>14</v>
      </c>
      <c r="S313" s="6" cm="1">
        <f t="array" ref="S313">IF(J313-LOOKUP(J313, $Y$4:$Y$26) &lt;= 0.1, LOOKUP(J313, $Y$4:$Y$26), MIN(_xlfn._xlws.FILTER($Y$4:$Y$26, $Y$4:$Y$26&gt;=J313)))</f>
        <v>22</v>
      </c>
    </row>
    <row r="314" spans="1:19" x14ac:dyDescent="0.25">
      <c r="A314" t="s">
        <v>511</v>
      </c>
      <c r="B314" s="11">
        <f t="shared" si="25"/>
        <v>118</v>
      </c>
      <c r="C314" s="11" t="str">
        <f t="shared" si="26"/>
        <v>I W12X118</v>
      </c>
      <c r="D314" s="5" t="s">
        <v>394</v>
      </c>
      <c r="E314" s="5" t="str">
        <f t="shared" si="27"/>
        <v>H - 315 x 308 x 11.94 x 18.67</v>
      </c>
      <c r="F314" s="25">
        <v>117.56464</v>
      </c>
      <c r="G314" s="6">
        <v>315</v>
      </c>
      <c r="H314" s="6">
        <v>308</v>
      </c>
      <c r="I314" s="6">
        <v>11.94</v>
      </c>
      <c r="J314" s="6">
        <v>18.670000000000002</v>
      </c>
      <c r="K314" s="6"/>
      <c r="L314" s="6">
        <v>14967.712</v>
      </c>
      <c r="N314" s="5" t="str">
        <f t="shared" si="28"/>
        <v>H - 315 x 308 x 12 x 20</v>
      </c>
      <c r="O314" s="25">
        <f t="shared" si="29"/>
        <v>122.617</v>
      </c>
      <c r="P314" s="6">
        <f t="shared" si="30"/>
        <v>315</v>
      </c>
      <c r="Q314" s="6">
        <f t="shared" si="30"/>
        <v>308</v>
      </c>
      <c r="R314" s="6" cm="1">
        <f t="array" ref="R314">IF(I314-LOOKUP(I314, $Y$4:$Y$26) &lt;= 0.1, LOOKUP(I314, $Y$4:$Y$26), MIN(_xlfn._xlws.FILTER($Y$4:$Y$26, $Y$4:$Y$26&gt;=I314)))</f>
        <v>12</v>
      </c>
      <c r="S314" s="6" cm="1">
        <f t="array" ref="S314">IF(J314-LOOKUP(J314, $Y$4:$Y$26) &lt;= 0.1, LOOKUP(J314, $Y$4:$Y$26), MIN(_xlfn._xlws.FILTER($Y$4:$Y$26, $Y$4:$Y$26&gt;=J314)))</f>
        <v>20</v>
      </c>
    </row>
    <row r="315" spans="1:19" x14ac:dyDescent="0.25">
      <c r="A315" t="s">
        <v>511</v>
      </c>
      <c r="B315" s="11">
        <f t="shared" si="25"/>
        <v>107</v>
      </c>
      <c r="C315" s="11" t="str">
        <f t="shared" si="26"/>
        <v>I W12X107</v>
      </c>
      <c r="D315" s="5" t="s">
        <v>395</v>
      </c>
      <c r="E315" s="5" t="str">
        <f t="shared" si="27"/>
        <v>H - 313 x 305 x 10.93 x 17.02</v>
      </c>
      <c r="F315" s="25">
        <v>107.14752</v>
      </c>
      <c r="G315" s="6">
        <v>313</v>
      </c>
      <c r="H315" s="6">
        <v>305</v>
      </c>
      <c r="I315" s="6">
        <v>10.93</v>
      </c>
      <c r="J315" s="6">
        <v>17.020000000000003</v>
      </c>
      <c r="K315" s="6"/>
      <c r="L315" s="6">
        <v>13612.876000000002</v>
      </c>
      <c r="N315" s="5" t="str">
        <f t="shared" si="28"/>
        <v>H - 313 x 305 x 12 x 18</v>
      </c>
      <c r="O315" s="25">
        <f t="shared" si="29"/>
        <v>112.2864</v>
      </c>
      <c r="P315" s="6">
        <f t="shared" si="30"/>
        <v>313</v>
      </c>
      <c r="Q315" s="6">
        <f t="shared" si="30"/>
        <v>305</v>
      </c>
      <c r="R315" s="6" cm="1">
        <f t="array" ref="R315">IF(I315-LOOKUP(I315, $Y$4:$Y$26) &lt;= 0.1, LOOKUP(I315, $Y$4:$Y$26), MIN(_xlfn._xlws.FILTER($Y$4:$Y$26, $Y$4:$Y$26&gt;=I315)))</f>
        <v>12</v>
      </c>
      <c r="S315" s="6" cm="1">
        <f t="array" ref="S315">IF(J315-LOOKUP(J315, $Y$4:$Y$26) &lt;= 0.1, LOOKUP(J315, $Y$4:$Y$26), MIN(_xlfn._xlws.FILTER($Y$4:$Y$26, $Y$4:$Y$26&gt;=J315)))</f>
        <v>18</v>
      </c>
    </row>
    <row r="316" spans="1:19" x14ac:dyDescent="0.25">
      <c r="A316" t="s">
        <v>511</v>
      </c>
      <c r="B316" s="11">
        <f t="shared" si="25"/>
        <v>97</v>
      </c>
      <c r="C316" s="11" t="str">
        <f t="shared" si="26"/>
        <v>I W12X97</v>
      </c>
      <c r="D316" s="5" t="s">
        <v>396</v>
      </c>
      <c r="E316" s="5" t="str">
        <f t="shared" si="27"/>
        <v>H - 308 x 305 x 9.91 x 15.37</v>
      </c>
      <c r="F316" s="25">
        <v>96.730399999999989</v>
      </c>
      <c r="G316" s="6">
        <v>308</v>
      </c>
      <c r="H316" s="6">
        <v>305</v>
      </c>
      <c r="I316" s="6">
        <v>9.91</v>
      </c>
      <c r="J316" s="6">
        <v>15.37</v>
      </c>
      <c r="K316" s="6"/>
      <c r="L316" s="6">
        <v>12322.556</v>
      </c>
      <c r="N316" s="5" t="str">
        <f t="shared" si="28"/>
        <v>H - 308 x 305 x 10 x 16</v>
      </c>
      <c r="O316" s="25">
        <f t="shared" si="29"/>
        <v>98.281999999999996</v>
      </c>
      <c r="P316" s="6">
        <f t="shared" si="30"/>
        <v>308</v>
      </c>
      <c r="Q316" s="6">
        <f t="shared" si="30"/>
        <v>305</v>
      </c>
      <c r="R316" s="6" cm="1">
        <f t="array" ref="R316">IF(I316-LOOKUP(I316, $Y$4:$Y$26) &lt;= 0.1, LOOKUP(I316, $Y$4:$Y$26), MIN(_xlfn._xlws.FILTER($Y$4:$Y$26, $Y$4:$Y$26&gt;=I316)))</f>
        <v>10</v>
      </c>
      <c r="S316" s="6" cm="1">
        <f t="array" ref="S316">IF(J316-LOOKUP(J316, $Y$4:$Y$26) &lt;= 0.1, LOOKUP(J316, $Y$4:$Y$26), MIN(_xlfn._xlws.FILTER($Y$4:$Y$26, $Y$4:$Y$26&gt;=J316)))</f>
        <v>16</v>
      </c>
    </row>
    <row r="317" spans="1:19" x14ac:dyDescent="0.25">
      <c r="A317" t="s">
        <v>511</v>
      </c>
      <c r="B317" s="11">
        <f t="shared" si="25"/>
        <v>86</v>
      </c>
      <c r="C317" s="11" t="str">
        <f t="shared" si="26"/>
        <v>I W12X86</v>
      </c>
      <c r="D317" s="5" t="s">
        <v>397</v>
      </c>
      <c r="E317" s="5" t="str">
        <f t="shared" si="27"/>
        <v>H - 310 x 254 x 9.15 x 16.26</v>
      </c>
      <c r="F317" s="25">
        <v>86.313279999999992</v>
      </c>
      <c r="G317" s="6">
        <v>310</v>
      </c>
      <c r="H317" s="6">
        <v>254</v>
      </c>
      <c r="I317" s="6">
        <v>9.15</v>
      </c>
      <c r="J317" s="6">
        <v>16.260000000000002</v>
      </c>
      <c r="K317" s="6"/>
      <c r="L317" s="6">
        <v>10967.72</v>
      </c>
      <c r="N317" s="5" t="str">
        <f t="shared" si="28"/>
        <v>H - 310 x 254 x 10 x 18</v>
      </c>
      <c r="O317" s="25">
        <f t="shared" si="29"/>
        <v>93.289400000000001</v>
      </c>
      <c r="P317" s="6">
        <f t="shared" si="30"/>
        <v>310</v>
      </c>
      <c r="Q317" s="6">
        <f t="shared" si="30"/>
        <v>254</v>
      </c>
      <c r="R317" s="6" cm="1">
        <f t="array" ref="R317">IF(I317-LOOKUP(I317, $Y$4:$Y$26) &lt;= 0.1, LOOKUP(I317, $Y$4:$Y$26), MIN(_xlfn._xlws.FILTER($Y$4:$Y$26, $Y$4:$Y$26&gt;=I317)))</f>
        <v>10</v>
      </c>
      <c r="S317" s="6" cm="1">
        <f t="array" ref="S317">IF(J317-LOOKUP(J317, $Y$4:$Y$26) &lt;= 0.1, LOOKUP(J317, $Y$4:$Y$26), MIN(_xlfn._xlws.FILTER($Y$4:$Y$26, $Y$4:$Y$26&gt;=J317)))</f>
        <v>18</v>
      </c>
    </row>
    <row r="318" spans="1:19" x14ac:dyDescent="0.25">
      <c r="A318" t="s">
        <v>511</v>
      </c>
      <c r="B318" s="11">
        <f t="shared" si="25"/>
        <v>79</v>
      </c>
      <c r="C318" s="11" t="str">
        <f t="shared" si="26"/>
        <v>I W12X79</v>
      </c>
      <c r="D318" s="5" t="s">
        <v>398</v>
      </c>
      <c r="E318" s="5" t="str">
        <f t="shared" si="27"/>
        <v>H - 308 x 254 x 8.77 x 14.61</v>
      </c>
      <c r="F318" s="25">
        <v>78.872479999999996</v>
      </c>
      <c r="G318" s="6">
        <v>308</v>
      </c>
      <c r="H318" s="6">
        <v>254</v>
      </c>
      <c r="I318" s="6">
        <v>8.77</v>
      </c>
      <c r="J318" s="6">
        <v>14.61</v>
      </c>
      <c r="K318" s="6"/>
      <c r="L318" s="6">
        <v>10064.495999999999</v>
      </c>
      <c r="N318" s="5" t="str">
        <f t="shared" si="28"/>
        <v>H - 308 x 254 x 10 x 16</v>
      </c>
      <c r="O318" s="25">
        <f t="shared" si="29"/>
        <v>85.470799999999997</v>
      </c>
      <c r="P318" s="6">
        <f t="shared" si="30"/>
        <v>308</v>
      </c>
      <c r="Q318" s="6">
        <f t="shared" si="30"/>
        <v>254</v>
      </c>
      <c r="R318" s="6" cm="1">
        <f t="array" ref="R318">IF(I318-LOOKUP(I318, $Y$4:$Y$26) &lt;= 0.1, LOOKUP(I318, $Y$4:$Y$26), MIN(_xlfn._xlws.FILTER($Y$4:$Y$26, $Y$4:$Y$26&gt;=I318)))</f>
        <v>10</v>
      </c>
      <c r="S318" s="6" cm="1">
        <f t="array" ref="S318">IF(J318-LOOKUP(J318, $Y$4:$Y$26) &lt;= 0.1, LOOKUP(J318, $Y$4:$Y$26), MIN(_xlfn._xlws.FILTER($Y$4:$Y$26, $Y$4:$Y$26&gt;=J318)))</f>
        <v>16</v>
      </c>
    </row>
    <row r="319" spans="1:19" x14ac:dyDescent="0.25">
      <c r="A319" t="s">
        <v>511</v>
      </c>
      <c r="B319" s="11">
        <f t="shared" si="25"/>
        <v>74</v>
      </c>
      <c r="C319" s="11" t="str">
        <f t="shared" si="26"/>
        <v>I W12X74</v>
      </c>
      <c r="D319" s="5" t="s">
        <v>399</v>
      </c>
      <c r="E319" s="5" t="str">
        <f t="shared" si="27"/>
        <v>H - 310 x 206 x 9.4 x 16.26</v>
      </c>
      <c r="F319" s="25">
        <v>74.408000000000001</v>
      </c>
      <c r="G319" s="6">
        <v>310</v>
      </c>
      <c r="H319" s="6">
        <v>206</v>
      </c>
      <c r="I319" s="6">
        <v>9.4</v>
      </c>
      <c r="J319" s="6">
        <v>16.260000000000002</v>
      </c>
      <c r="K319" s="6"/>
      <c r="L319" s="6">
        <v>9419.3360000000011</v>
      </c>
      <c r="N319" s="5" t="str">
        <f t="shared" si="28"/>
        <v>H - 310 x 206 x 10 x 18</v>
      </c>
      <c r="O319" s="25">
        <f t="shared" si="29"/>
        <v>79.724599999999995</v>
      </c>
      <c r="P319" s="6">
        <f t="shared" si="30"/>
        <v>310</v>
      </c>
      <c r="Q319" s="6">
        <f t="shared" si="30"/>
        <v>206</v>
      </c>
      <c r="R319" s="6" cm="1">
        <f t="array" ref="R319">IF(I319-LOOKUP(I319, $Y$4:$Y$26) &lt;= 0.1, LOOKUP(I319, $Y$4:$Y$26), MIN(_xlfn._xlws.FILTER($Y$4:$Y$26, $Y$4:$Y$26&gt;=I319)))</f>
        <v>10</v>
      </c>
      <c r="S319" s="6" cm="1">
        <f t="array" ref="S319">IF(J319-LOOKUP(J319, $Y$4:$Y$26) &lt;= 0.1, LOOKUP(J319, $Y$4:$Y$26), MIN(_xlfn._xlws.FILTER($Y$4:$Y$26, $Y$4:$Y$26&gt;=J319)))</f>
        <v>18</v>
      </c>
    </row>
    <row r="320" spans="1:19" x14ac:dyDescent="0.25">
      <c r="A320" t="s">
        <v>511</v>
      </c>
      <c r="B320" s="11">
        <f t="shared" si="25"/>
        <v>67</v>
      </c>
      <c r="C320" s="11" t="str">
        <f t="shared" si="26"/>
        <v>I W12X67</v>
      </c>
      <c r="D320" s="5" t="s">
        <v>400</v>
      </c>
      <c r="E320" s="5" t="str">
        <f t="shared" si="27"/>
        <v>H - 308 x 205 x 8.51 x 14.61</v>
      </c>
      <c r="F320" s="25">
        <v>66.967199999999991</v>
      </c>
      <c r="G320" s="6">
        <v>308</v>
      </c>
      <c r="H320" s="6">
        <v>205</v>
      </c>
      <c r="I320" s="6">
        <v>8.51</v>
      </c>
      <c r="J320" s="6">
        <v>14.61</v>
      </c>
      <c r="K320" s="6"/>
      <c r="L320" s="6">
        <v>8451.5959999999995</v>
      </c>
      <c r="N320" s="5" t="str">
        <f t="shared" si="28"/>
        <v>H - 308 x 205 x 10 x 16</v>
      </c>
      <c r="O320" s="25">
        <f t="shared" si="29"/>
        <v>73.162000000000006</v>
      </c>
      <c r="P320" s="6">
        <f t="shared" si="30"/>
        <v>308</v>
      </c>
      <c r="Q320" s="6">
        <f t="shared" si="30"/>
        <v>205</v>
      </c>
      <c r="R320" s="6" cm="1">
        <f t="array" ref="R320">IF(I320-LOOKUP(I320, $Y$4:$Y$26) &lt;= 0.1, LOOKUP(I320, $Y$4:$Y$26), MIN(_xlfn._xlws.FILTER($Y$4:$Y$26, $Y$4:$Y$26&gt;=I320)))</f>
        <v>10</v>
      </c>
      <c r="S320" s="6" cm="1">
        <f t="array" ref="S320">IF(J320-LOOKUP(J320, $Y$4:$Y$26) &lt;= 0.1, LOOKUP(J320, $Y$4:$Y$26), MIN(_xlfn._xlws.FILTER($Y$4:$Y$26, $Y$4:$Y$26&gt;=J320)))</f>
        <v>16</v>
      </c>
    </row>
    <row r="321" spans="1:19" x14ac:dyDescent="0.25">
      <c r="A321" t="s">
        <v>511</v>
      </c>
      <c r="B321" s="11">
        <f t="shared" si="25"/>
        <v>60</v>
      </c>
      <c r="C321" s="11" t="str">
        <f t="shared" si="26"/>
        <v>I W12X60</v>
      </c>
      <c r="D321" s="5" t="s">
        <v>401</v>
      </c>
      <c r="E321" s="5" t="str">
        <f t="shared" si="27"/>
        <v>H - 303 x 204 x 7.5 x 13.09</v>
      </c>
      <c r="F321" s="25">
        <v>59.526399999999995</v>
      </c>
      <c r="G321" s="6">
        <v>303</v>
      </c>
      <c r="H321" s="6">
        <v>204</v>
      </c>
      <c r="I321" s="6">
        <v>7.5</v>
      </c>
      <c r="J321" s="6">
        <v>13.09</v>
      </c>
      <c r="K321" s="6"/>
      <c r="L321" s="6">
        <v>7548.3719999999994</v>
      </c>
      <c r="N321" s="5" t="str">
        <f t="shared" si="28"/>
        <v>H - 303 x 204 x 8 x 14</v>
      </c>
      <c r="O321" s="25">
        <f t="shared" si="29"/>
        <v>62.109200000000001</v>
      </c>
      <c r="P321" s="6">
        <f t="shared" si="30"/>
        <v>303</v>
      </c>
      <c r="Q321" s="6">
        <f t="shared" si="30"/>
        <v>204</v>
      </c>
      <c r="R321" s="6" cm="1">
        <f t="array" ref="R321">IF(I321-LOOKUP(I321, $Y$4:$Y$26) &lt;= 0.1, LOOKUP(I321, $Y$4:$Y$26), MIN(_xlfn._xlws.FILTER($Y$4:$Y$26, $Y$4:$Y$26&gt;=I321)))</f>
        <v>8</v>
      </c>
      <c r="S321" s="6" cm="1">
        <f t="array" ref="S321">IF(J321-LOOKUP(J321, $Y$4:$Y$26) &lt;= 0.1, LOOKUP(J321, $Y$4:$Y$26), MIN(_xlfn._xlws.FILTER($Y$4:$Y$26, $Y$4:$Y$26&gt;=J321)))</f>
        <v>14</v>
      </c>
    </row>
    <row r="322" spans="1:19" x14ac:dyDescent="0.25">
      <c r="A322" t="s">
        <v>511</v>
      </c>
      <c r="B322" s="11">
        <f t="shared" si="25"/>
        <v>52</v>
      </c>
      <c r="C322" s="11" t="str">
        <f t="shared" si="26"/>
        <v>I W12X52</v>
      </c>
      <c r="D322" s="5" t="s">
        <v>402</v>
      </c>
      <c r="E322" s="5" t="str">
        <f t="shared" si="27"/>
        <v>H - 318 x 167 x 7.62 x 13.21</v>
      </c>
      <c r="F322" s="25">
        <v>52.085599999999999</v>
      </c>
      <c r="G322" s="6">
        <v>318</v>
      </c>
      <c r="H322" s="6">
        <v>167</v>
      </c>
      <c r="I322" s="6">
        <v>7.62</v>
      </c>
      <c r="J322" s="6">
        <v>13.209999999999999</v>
      </c>
      <c r="K322" s="6"/>
      <c r="L322" s="6">
        <v>6645.1480000000001</v>
      </c>
      <c r="N322" s="5" t="str">
        <f t="shared" si="28"/>
        <v>H - 318 x 167 x 8 x 14</v>
      </c>
      <c r="O322" s="25">
        <f t="shared" si="29"/>
        <v>54.918599999999998</v>
      </c>
      <c r="P322" s="6">
        <f t="shared" si="30"/>
        <v>318</v>
      </c>
      <c r="Q322" s="6">
        <f t="shared" si="30"/>
        <v>167</v>
      </c>
      <c r="R322" s="6" cm="1">
        <f t="array" ref="R322">IF(I322-LOOKUP(I322, $Y$4:$Y$26) &lt;= 0.1, LOOKUP(I322, $Y$4:$Y$26), MIN(_xlfn._xlws.FILTER($Y$4:$Y$26, $Y$4:$Y$26&gt;=I322)))</f>
        <v>8</v>
      </c>
      <c r="S322" s="6" cm="1">
        <f t="array" ref="S322">IF(J322-LOOKUP(J322, $Y$4:$Y$26) &lt;= 0.1, LOOKUP(J322, $Y$4:$Y$26), MIN(_xlfn._xlws.FILTER($Y$4:$Y$26, $Y$4:$Y$26&gt;=J322)))</f>
        <v>14</v>
      </c>
    </row>
    <row r="323" spans="1:19" x14ac:dyDescent="0.25">
      <c r="A323" t="s">
        <v>511</v>
      </c>
      <c r="B323" s="11">
        <f t="shared" si="25"/>
        <v>45</v>
      </c>
      <c r="C323" s="11" t="str">
        <f t="shared" si="26"/>
        <v>I W12X45</v>
      </c>
      <c r="D323" s="5" t="s">
        <v>403</v>
      </c>
      <c r="E323" s="5" t="str">
        <f t="shared" si="27"/>
        <v>H - 313 x 166 x 6.61 x 11.18</v>
      </c>
      <c r="F323" s="25">
        <v>44.644799999999996</v>
      </c>
      <c r="G323" s="6">
        <v>313</v>
      </c>
      <c r="H323" s="6">
        <v>166</v>
      </c>
      <c r="I323" s="6">
        <v>6.6099999999999994</v>
      </c>
      <c r="J323" s="6">
        <v>11.18</v>
      </c>
      <c r="K323" s="6"/>
      <c r="L323" s="6">
        <v>5670.9564</v>
      </c>
      <c r="N323" s="5" t="str">
        <f t="shared" si="28"/>
        <v>H - 313 x 166 x 8 x 12</v>
      </c>
      <c r="O323" s="25">
        <f t="shared" si="29"/>
        <v>49.4236</v>
      </c>
      <c r="P323" s="6">
        <f t="shared" si="30"/>
        <v>313</v>
      </c>
      <c r="Q323" s="6">
        <f t="shared" si="30"/>
        <v>166</v>
      </c>
      <c r="R323" s="6" cm="1">
        <f t="array" ref="R323">IF(I323-LOOKUP(I323, $Y$4:$Y$26) &lt;= 0.1, LOOKUP(I323, $Y$4:$Y$26), MIN(_xlfn._xlws.FILTER($Y$4:$Y$26, $Y$4:$Y$26&gt;=I323)))</f>
        <v>8</v>
      </c>
      <c r="S323" s="6" cm="1">
        <f t="array" ref="S323">IF(J323-LOOKUP(J323, $Y$4:$Y$26) &lt;= 0.1, LOOKUP(J323, $Y$4:$Y$26), MIN(_xlfn._xlws.FILTER($Y$4:$Y$26, $Y$4:$Y$26&gt;=J323)))</f>
        <v>12</v>
      </c>
    </row>
    <row r="324" spans="1:19" x14ac:dyDescent="0.25">
      <c r="A324" t="s">
        <v>511</v>
      </c>
      <c r="B324" s="11">
        <f t="shared" si="25"/>
        <v>39</v>
      </c>
      <c r="C324" s="11" t="str">
        <f t="shared" si="26"/>
        <v>I W12X39</v>
      </c>
      <c r="D324" s="5" t="s">
        <v>404</v>
      </c>
      <c r="E324" s="5" t="str">
        <f t="shared" si="27"/>
        <v>H - 310 x 165 x 5.85 x 9.66</v>
      </c>
      <c r="F324" s="25">
        <v>38.692160000000001</v>
      </c>
      <c r="G324" s="6">
        <v>310</v>
      </c>
      <c r="H324" s="6">
        <v>165</v>
      </c>
      <c r="I324" s="6">
        <v>5.85</v>
      </c>
      <c r="J324" s="6">
        <v>9.66</v>
      </c>
      <c r="K324" s="6"/>
      <c r="L324" s="6">
        <v>4935.4740000000002</v>
      </c>
      <c r="N324" s="5" t="str">
        <f t="shared" si="28"/>
        <v>H - 310 x 165 x 6 x 10</v>
      </c>
      <c r="O324" s="25">
        <f t="shared" si="29"/>
        <v>39.564</v>
      </c>
      <c r="P324" s="6">
        <f t="shared" si="30"/>
        <v>310</v>
      </c>
      <c r="Q324" s="6">
        <f t="shared" si="30"/>
        <v>165</v>
      </c>
      <c r="R324" s="6" cm="1">
        <f t="array" ref="R324">IF(I324-LOOKUP(I324, $Y$4:$Y$26) &lt;= 0.1, LOOKUP(I324, $Y$4:$Y$26), MIN(_xlfn._xlws.FILTER($Y$4:$Y$26, $Y$4:$Y$26&gt;=I324)))</f>
        <v>6</v>
      </c>
      <c r="S324" s="6" cm="1">
        <f t="array" ref="S324">IF(J324-LOOKUP(J324, $Y$4:$Y$26) &lt;= 0.1, LOOKUP(J324, $Y$4:$Y$26), MIN(_xlfn._xlws.FILTER($Y$4:$Y$26, $Y$4:$Y$26&gt;=J324)))</f>
        <v>10</v>
      </c>
    </row>
    <row r="325" spans="1:19" x14ac:dyDescent="0.25">
      <c r="A325" t="s">
        <v>511</v>
      </c>
      <c r="B325" s="11">
        <f t="shared" si="25"/>
        <v>33</v>
      </c>
      <c r="C325" s="11" t="str">
        <f t="shared" si="26"/>
        <v>I W12X33</v>
      </c>
      <c r="D325" s="5" t="s">
        <v>405</v>
      </c>
      <c r="E325" s="5" t="str">
        <f t="shared" si="27"/>
        <v>I - 313 x 103 x 6.61 x 10.8</v>
      </c>
      <c r="F325" s="25">
        <v>32.739519999999999</v>
      </c>
      <c r="G325" s="6">
        <v>313</v>
      </c>
      <c r="H325" s="6">
        <v>103</v>
      </c>
      <c r="I325" s="6">
        <v>6.6099999999999994</v>
      </c>
      <c r="J325" s="6">
        <v>10.799999999999999</v>
      </c>
      <c r="K325" s="6"/>
      <c r="L325" s="6">
        <v>4180.6368000000002</v>
      </c>
      <c r="N325" s="5" t="str">
        <f t="shared" si="28"/>
        <v>I - 313 x 103 x 8 x 12</v>
      </c>
      <c r="O325" s="25">
        <f t="shared" si="29"/>
        <v>37.554400000000001</v>
      </c>
      <c r="P325" s="6">
        <f t="shared" si="30"/>
        <v>313</v>
      </c>
      <c r="Q325" s="6">
        <f t="shared" si="30"/>
        <v>103</v>
      </c>
      <c r="R325" s="6" cm="1">
        <f t="array" ref="R325">IF(I325-LOOKUP(I325, $Y$4:$Y$26) &lt;= 0.1, LOOKUP(I325, $Y$4:$Y$26), MIN(_xlfn._xlws.FILTER($Y$4:$Y$26, $Y$4:$Y$26&gt;=I325)))</f>
        <v>8</v>
      </c>
      <c r="S325" s="6" cm="1">
        <f t="array" ref="S325">IF(J325-LOOKUP(J325, $Y$4:$Y$26) &lt;= 0.1, LOOKUP(J325, $Y$4:$Y$26), MIN(_xlfn._xlws.FILTER($Y$4:$Y$26, $Y$4:$Y$26&gt;=J325)))</f>
        <v>12</v>
      </c>
    </row>
    <row r="326" spans="1:19" x14ac:dyDescent="0.25">
      <c r="A326" t="s">
        <v>511</v>
      </c>
      <c r="B326" s="11">
        <f t="shared" ref="B326:B389" si="31">ROUND(F326,0)</f>
        <v>28</v>
      </c>
      <c r="C326" s="11" t="str">
        <f t="shared" ref="C326:C389" si="32">"I "&amp;A326&amp;"X"&amp;B326</f>
        <v>I W12X28</v>
      </c>
      <c r="D326" s="5" t="s">
        <v>406</v>
      </c>
      <c r="E326" s="5" t="str">
        <f t="shared" ref="E326:E389" si="33">IF((G326/H326)&lt;2,"H - ","I - ")&amp;G326&amp;" x "&amp;H326&amp;" x "&amp;I326&amp;" x "&amp;J326</f>
        <v>I - 310 x 102 x 5.97 x 8.89</v>
      </c>
      <c r="F326" s="25">
        <v>28.275039999999997</v>
      </c>
      <c r="G326" s="6">
        <v>310</v>
      </c>
      <c r="H326" s="6">
        <v>102</v>
      </c>
      <c r="I326" s="6">
        <v>5.97</v>
      </c>
      <c r="J326" s="6">
        <v>8.89</v>
      </c>
      <c r="K326" s="6"/>
      <c r="L326" s="6">
        <v>3593.5412000000001</v>
      </c>
      <c r="N326" s="5" t="str">
        <f t="shared" ref="N326:N389" si="34">IF((P326/Q326)&lt;2,"H - ","I - ")&amp;P326&amp;" x "&amp;Q326&amp;" x "&amp;R326&amp;" x "&amp;S326</f>
        <v>I - 310 x 102 x 6 x 10</v>
      </c>
      <c r="O326" s="25">
        <f t="shared" ref="O326:O389" si="35">((P326-2*S326)*R326+2*Q326*S326)*7850/10^6</f>
        <v>29.672999999999998</v>
      </c>
      <c r="P326" s="6">
        <f t="shared" ref="P326:Q389" si="36">ROUND(G326,0)</f>
        <v>310</v>
      </c>
      <c r="Q326" s="6">
        <f t="shared" si="36"/>
        <v>102</v>
      </c>
      <c r="R326" s="6" cm="1">
        <f t="array" ref="R326">IF(I326-LOOKUP(I326, $Y$4:$Y$26) &lt;= 0.1, LOOKUP(I326, $Y$4:$Y$26), MIN(_xlfn._xlws.FILTER($Y$4:$Y$26, $Y$4:$Y$26&gt;=I326)))</f>
        <v>6</v>
      </c>
      <c r="S326" s="6" cm="1">
        <f t="array" ref="S326">IF(J326-LOOKUP(J326, $Y$4:$Y$26) &lt;= 0.1, LOOKUP(J326, $Y$4:$Y$26), MIN(_xlfn._xlws.FILTER($Y$4:$Y$26, $Y$4:$Y$26&gt;=J326)))</f>
        <v>10</v>
      </c>
    </row>
    <row r="327" spans="1:19" x14ac:dyDescent="0.25">
      <c r="A327" t="s">
        <v>511</v>
      </c>
      <c r="B327" s="11">
        <f t="shared" si="31"/>
        <v>24</v>
      </c>
      <c r="C327" s="11" t="str">
        <f t="shared" si="32"/>
        <v>I W12X24</v>
      </c>
      <c r="D327" s="5" t="s">
        <v>407</v>
      </c>
      <c r="E327" s="5" t="str">
        <f t="shared" si="33"/>
        <v>I - 305 x 102 x 5.59 x 6.74</v>
      </c>
      <c r="F327" s="25">
        <v>23.810559999999999</v>
      </c>
      <c r="G327" s="6">
        <v>305</v>
      </c>
      <c r="H327" s="6">
        <v>102</v>
      </c>
      <c r="I327" s="6">
        <v>5.59</v>
      </c>
      <c r="J327" s="6">
        <v>6.74</v>
      </c>
      <c r="K327" s="6"/>
      <c r="L327" s="6">
        <v>3038.7035999999998</v>
      </c>
      <c r="N327" s="5" t="str">
        <f t="shared" si="34"/>
        <v>I - 305 x 102 x 6 x 8</v>
      </c>
      <c r="O327" s="25">
        <f t="shared" si="35"/>
        <v>26.423100000000002</v>
      </c>
      <c r="P327" s="6">
        <f t="shared" si="36"/>
        <v>305</v>
      </c>
      <c r="Q327" s="6">
        <f t="shared" si="36"/>
        <v>102</v>
      </c>
      <c r="R327" s="6" cm="1">
        <f t="array" ref="R327">IF(I327-LOOKUP(I327, $Y$4:$Y$26) &lt;= 0.1, LOOKUP(I327, $Y$4:$Y$26), MIN(_xlfn._xlws.FILTER($Y$4:$Y$26, $Y$4:$Y$26&gt;=I327)))</f>
        <v>6</v>
      </c>
      <c r="S327" s="6" cm="1">
        <f t="array" ref="S327">IF(J327-LOOKUP(J327, $Y$4:$Y$26) &lt;= 0.1, LOOKUP(J327, $Y$4:$Y$26), MIN(_xlfn._xlws.FILTER($Y$4:$Y$26, $Y$4:$Y$26&gt;=J327)))</f>
        <v>8</v>
      </c>
    </row>
    <row r="328" spans="1:19" x14ac:dyDescent="0.25">
      <c r="A328" t="s">
        <v>511</v>
      </c>
      <c r="B328" s="11">
        <f t="shared" si="31"/>
        <v>21</v>
      </c>
      <c r="C328" s="11" t="str">
        <f t="shared" si="32"/>
        <v>I W12X21</v>
      </c>
      <c r="D328" s="5" t="s">
        <v>408</v>
      </c>
      <c r="E328" s="5" t="str">
        <f t="shared" si="33"/>
        <v>I - 303 x 101 x 5.08 x 5.72</v>
      </c>
      <c r="F328" s="25">
        <v>20.834239999999998</v>
      </c>
      <c r="G328" s="6">
        <v>303</v>
      </c>
      <c r="H328" s="6">
        <v>101</v>
      </c>
      <c r="I328" s="6">
        <v>5.08</v>
      </c>
      <c r="J328" s="6">
        <v>5.72</v>
      </c>
      <c r="K328" s="6"/>
      <c r="L328" s="6">
        <v>2683.8656000000001</v>
      </c>
      <c r="N328" s="5" t="str">
        <f t="shared" si="34"/>
        <v>I - 303 x 101 x 6 x 6</v>
      </c>
      <c r="O328" s="25">
        <f t="shared" si="35"/>
        <v>23.220300000000002</v>
      </c>
      <c r="P328" s="6">
        <f t="shared" si="36"/>
        <v>303</v>
      </c>
      <c r="Q328" s="6">
        <f t="shared" si="36"/>
        <v>101</v>
      </c>
      <c r="R328" s="6" cm="1">
        <f t="array" ref="R328">IF(I328-LOOKUP(I328, $Y$4:$Y$26) &lt;= 0.1, LOOKUP(I328, $Y$4:$Y$26), MIN(_xlfn._xlws.FILTER($Y$4:$Y$26, $Y$4:$Y$26&gt;=I328)))</f>
        <v>6</v>
      </c>
      <c r="S328" s="6" cm="1">
        <f t="array" ref="S328">IF(J328-LOOKUP(J328, $Y$4:$Y$26) &lt;= 0.1, LOOKUP(J328, $Y$4:$Y$26), MIN(_xlfn._xlws.FILTER($Y$4:$Y$26, $Y$4:$Y$26&gt;=J328)))</f>
        <v>6</v>
      </c>
    </row>
    <row r="329" spans="1:19" x14ac:dyDescent="0.25">
      <c r="A329" t="s">
        <v>512</v>
      </c>
      <c r="B329" s="11">
        <f t="shared" si="31"/>
        <v>167</v>
      </c>
      <c r="C329" s="11" t="str">
        <f t="shared" si="32"/>
        <v>I W10X167</v>
      </c>
      <c r="D329" s="5" t="s">
        <v>409</v>
      </c>
      <c r="E329" s="5" t="str">
        <f t="shared" si="33"/>
        <v>H - 290 x 265 x 19.18 x 31.75</v>
      </c>
      <c r="F329" s="25">
        <v>166.67391999999998</v>
      </c>
      <c r="G329" s="6">
        <v>290</v>
      </c>
      <c r="H329" s="6">
        <v>265</v>
      </c>
      <c r="I329" s="6">
        <v>19.180000000000003</v>
      </c>
      <c r="J329" s="6">
        <v>31.75</v>
      </c>
      <c r="K329" s="6"/>
      <c r="L329" s="6">
        <v>21225.763999999999</v>
      </c>
      <c r="N329" s="5" t="str">
        <f t="shared" si="34"/>
        <v>H - 290 x 265 x 20 x 32</v>
      </c>
      <c r="O329" s="25">
        <f t="shared" si="35"/>
        <v>168.61799999999999</v>
      </c>
      <c r="P329" s="6">
        <f t="shared" si="36"/>
        <v>290</v>
      </c>
      <c r="Q329" s="6">
        <f t="shared" si="36"/>
        <v>265</v>
      </c>
      <c r="R329" s="6" cm="1">
        <f t="array" ref="R329">IF(I329-LOOKUP(I329, $Y$4:$Y$26) &lt;= 0.1, LOOKUP(I329, $Y$4:$Y$26), MIN(_xlfn._xlws.FILTER($Y$4:$Y$26, $Y$4:$Y$26&gt;=I329)))</f>
        <v>20</v>
      </c>
      <c r="S329" s="6" cm="1">
        <f t="array" ref="S329">IF(J329-LOOKUP(J329, $Y$4:$Y$26) &lt;= 0.1, LOOKUP(J329, $Y$4:$Y$26), MIN(_xlfn._xlws.FILTER($Y$4:$Y$26, $Y$4:$Y$26&gt;=J329)))</f>
        <v>32</v>
      </c>
    </row>
    <row r="330" spans="1:19" x14ac:dyDescent="0.25">
      <c r="A330" t="s">
        <v>512</v>
      </c>
      <c r="B330" s="11">
        <f t="shared" si="31"/>
        <v>149</v>
      </c>
      <c r="C330" s="11" t="str">
        <f t="shared" si="32"/>
        <v>I W10X149</v>
      </c>
      <c r="D330" s="5" t="s">
        <v>410</v>
      </c>
      <c r="E330" s="5" t="str">
        <f t="shared" si="33"/>
        <v>H - 282 x 262 x 17.28 x 28.45</v>
      </c>
      <c r="F330" s="25">
        <v>148.816</v>
      </c>
      <c r="G330" s="6">
        <v>282</v>
      </c>
      <c r="H330" s="6">
        <v>262</v>
      </c>
      <c r="I330" s="6">
        <v>17.28</v>
      </c>
      <c r="J330" s="6">
        <v>28.450000000000003</v>
      </c>
      <c r="K330" s="6"/>
      <c r="L330" s="6">
        <v>18903.188000000002</v>
      </c>
      <c r="N330" s="5" t="str">
        <f t="shared" si="34"/>
        <v>H - 282 x 262 x 18 x 30</v>
      </c>
      <c r="O330" s="25">
        <f t="shared" si="35"/>
        <v>154.7706</v>
      </c>
      <c r="P330" s="6">
        <f t="shared" si="36"/>
        <v>282</v>
      </c>
      <c r="Q330" s="6">
        <f t="shared" si="36"/>
        <v>262</v>
      </c>
      <c r="R330" s="6" cm="1">
        <f t="array" ref="R330">IF(I330-LOOKUP(I330, $Y$4:$Y$26) &lt;= 0.1, LOOKUP(I330, $Y$4:$Y$26), MIN(_xlfn._xlws.FILTER($Y$4:$Y$26, $Y$4:$Y$26&gt;=I330)))</f>
        <v>18</v>
      </c>
      <c r="S330" s="6" cm="1">
        <f t="array" ref="S330">IF(J330-LOOKUP(J330, $Y$4:$Y$26) &lt;= 0.1, LOOKUP(J330, $Y$4:$Y$26), MIN(_xlfn._xlws.FILTER($Y$4:$Y$26, $Y$4:$Y$26&gt;=J330)))</f>
        <v>30</v>
      </c>
    </row>
    <row r="331" spans="1:19" x14ac:dyDescent="0.25">
      <c r="A331" t="s">
        <v>512</v>
      </c>
      <c r="B331" s="11">
        <f t="shared" si="31"/>
        <v>131</v>
      </c>
      <c r="C331" s="11" t="str">
        <f t="shared" si="32"/>
        <v>I W10X131</v>
      </c>
      <c r="D331" s="5" t="s">
        <v>411</v>
      </c>
      <c r="E331" s="5" t="str">
        <f t="shared" si="33"/>
        <v>H - 275 x 262 x 15.37 x 25.15</v>
      </c>
      <c r="F331" s="25">
        <v>130.95808</v>
      </c>
      <c r="G331" s="6">
        <v>275</v>
      </c>
      <c r="H331" s="6">
        <v>262</v>
      </c>
      <c r="I331" s="6">
        <v>15.37</v>
      </c>
      <c r="J331" s="6">
        <v>25.150000000000002</v>
      </c>
      <c r="K331" s="6"/>
      <c r="L331" s="6">
        <v>16774.16</v>
      </c>
      <c r="N331" s="5" t="str">
        <f t="shared" si="34"/>
        <v>H - 275 x 262 x 16 x 28</v>
      </c>
      <c r="O331" s="25">
        <f t="shared" si="35"/>
        <v>142.6816</v>
      </c>
      <c r="P331" s="6">
        <f t="shared" si="36"/>
        <v>275</v>
      </c>
      <c r="Q331" s="6">
        <f t="shared" si="36"/>
        <v>262</v>
      </c>
      <c r="R331" s="6" cm="1">
        <f t="array" ref="R331">IF(I331-LOOKUP(I331, $Y$4:$Y$26) &lt;= 0.1, LOOKUP(I331, $Y$4:$Y$26), MIN(_xlfn._xlws.FILTER($Y$4:$Y$26, $Y$4:$Y$26&gt;=I331)))</f>
        <v>16</v>
      </c>
      <c r="S331" s="6" cm="1">
        <f t="array" ref="S331">IF(J331-LOOKUP(J331, $Y$4:$Y$26) &lt;= 0.1, LOOKUP(J331, $Y$4:$Y$26), MIN(_xlfn._xlws.FILTER($Y$4:$Y$26, $Y$4:$Y$26&gt;=J331)))</f>
        <v>28</v>
      </c>
    </row>
    <row r="332" spans="1:19" x14ac:dyDescent="0.25">
      <c r="A332" t="s">
        <v>512</v>
      </c>
      <c r="B332" s="11">
        <f t="shared" si="31"/>
        <v>115</v>
      </c>
      <c r="C332" s="11" t="str">
        <f t="shared" si="32"/>
        <v>I W10X115</v>
      </c>
      <c r="D332" s="5" t="s">
        <v>412</v>
      </c>
      <c r="E332" s="5" t="str">
        <f t="shared" si="33"/>
        <v>H - 270 x 260 x 13.47 x 22.1</v>
      </c>
      <c r="F332" s="25">
        <v>114.58832</v>
      </c>
      <c r="G332" s="6">
        <v>270</v>
      </c>
      <c r="H332" s="6">
        <v>260</v>
      </c>
      <c r="I332" s="6">
        <v>13.47</v>
      </c>
      <c r="J332" s="6">
        <v>22.1</v>
      </c>
      <c r="K332" s="6"/>
      <c r="L332" s="6">
        <v>14645.132</v>
      </c>
      <c r="N332" s="5" t="str">
        <f t="shared" si="34"/>
        <v>H - 270 x 260 x 14 x 25</v>
      </c>
      <c r="O332" s="25">
        <f t="shared" si="35"/>
        <v>126.22799999999999</v>
      </c>
      <c r="P332" s="6">
        <f t="shared" si="36"/>
        <v>270</v>
      </c>
      <c r="Q332" s="6">
        <f t="shared" si="36"/>
        <v>260</v>
      </c>
      <c r="R332" s="6" cm="1">
        <f t="array" ref="R332">IF(I332-LOOKUP(I332, $Y$4:$Y$26) &lt;= 0.1, LOOKUP(I332, $Y$4:$Y$26), MIN(_xlfn._xlws.FILTER($Y$4:$Y$26, $Y$4:$Y$26&gt;=I332)))</f>
        <v>14</v>
      </c>
      <c r="S332" s="6" cm="1">
        <f t="array" ref="S332">IF(J332-LOOKUP(J332, $Y$4:$Y$26) &lt;= 0.1, LOOKUP(J332, $Y$4:$Y$26), MIN(_xlfn._xlws.FILTER($Y$4:$Y$26, $Y$4:$Y$26&gt;=J332)))</f>
        <v>25</v>
      </c>
    </row>
    <row r="333" spans="1:19" x14ac:dyDescent="0.25">
      <c r="A333" t="s">
        <v>512</v>
      </c>
      <c r="B333" s="11">
        <f t="shared" si="31"/>
        <v>101</v>
      </c>
      <c r="C333" s="11" t="str">
        <f t="shared" si="32"/>
        <v>I W10X101</v>
      </c>
      <c r="D333" s="5" t="s">
        <v>413</v>
      </c>
      <c r="E333" s="5" t="str">
        <f t="shared" si="33"/>
        <v>H - 265 x 257 x 11.94 x 19.56</v>
      </c>
      <c r="F333" s="25">
        <v>101.19488</v>
      </c>
      <c r="G333" s="6">
        <v>265</v>
      </c>
      <c r="H333" s="6">
        <v>257</v>
      </c>
      <c r="I333" s="6">
        <v>11.94</v>
      </c>
      <c r="J333" s="6">
        <v>19.560000000000002</v>
      </c>
      <c r="K333" s="6"/>
      <c r="L333" s="6">
        <v>12838.683999999999</v>
      </c>
      <c r="N333" s="5" t="str">
        <f t="shared" si="34"/>
        <v>H - 265 x 257 x 12 x 20</v>
      </c>
      <c r="O333" s="25">
        <f t="shared" si="35"/>
        <v>101.893</v>
      </c>
      <c r="P333" s="6">
        <f t="shared" si="36"/>
        <v>265</v>
      </c>
      <c r="Q333" s="6">
        <f t="shared" si="36"/>
        <v>257</v>
      </c>
      <c r="R333" s="6" cm="1">
        <f t="array" ref="R333">IF(I333-LOOKUP(I333, $Y$4:$Y$26) &lt;= 0.1, LOOKUP(I333, $Y$4:$Y$26), MIN(_xlfn._xlws.FILTER($Y$4:$Y$26, $Y$4:$Y$26&gt;=I333)))</f>
        <v>12</v>
      </c>
      <c r="S333" s="6" cm="1">
        <f t="array" ref="S333">IF(J333-LOOKUP(J333, $Y$4:$Y$26) &lt;= 0.1, LOOKUP(J333, $Y$4:$Y$26), MIN(_xlfn._xlws.FILTER($Y$4:$Y$26, $Y$4:$Y$26&gt;=J333)))</f>
        <v>20</v>
      </c>
    </row>
    <row r="334" spans="1:19" x14ac:dyDescent="0.25">
      <c r="A334" t="s">
        <v>512</v>
      </c>
      <c r="B334" s="11">
        <f t="shared" si="31"/>
        <v>89</v>
      </c>
      <c r="C334" s="11" t="str">
        <f t="shared" si="32"/>
        <v>I W10X89</v>
      </c>
      <c r="D334" s="5" t="s">
        <v>414</v>
      </c>
      <c r="E334" s="5" t="str">
        <f t="shared" si="33"/>
        <v>H - 260 x 257 x 10.67 x 17.28</v>
      </c>
      <c r="F334" s="25">
        <v>89.289599999999993</v>
      </c>
      <c r="G334" s="6">
        <v>260</v>
      </c>
      <c r="H334" s="6">
        <v>257</v>
      </c>
      <c r="I334" s="6">
        <v>10.67</v>
      </c>
      <c r="J334" s="6">
        <v>17.28</v>
      </c>
      <c r="K334" s="6"/>
      <c r="L334" s="6">
        <v>11419.331999999999</v>
      </c>
      <c r="N334" s="5" t="str">
        <f t="shared" si="34"/>
        <v>H - 260 x 257 x 12 x 18</v>
      </c>
      <c r="O334" s="25">
        <f t="shared" si="35"/>
        <v>93.728999999999999</v>
      </c>
      <c r="P334" s="6">
        <f t="shared" si="36"/>
        <v>260</v>
      </c>
      <c r="Q334" s="6">
        <f t="shared" si="36"/>
        <v>257</v>
      </c>
      <c r="R334" s="6" cm="1">
        <f t="array" ref="R334">IF(I334-LOOKUP(I334, $Y$4:$Y$26) &lt;= 0.1, LOOKUP(I334, $Y$4:$Y$26), MIN(_xlfn._xlws.FILTER($Y$4:$Y$26, $Y$4:$Y$26&gt;=I334)))</f>
        <v>12</v>
      </c>
      <c r="S334" s="6" cm="1">
        <f t="array" ref="S334">IF(J334-LOOKUP(J334, $Y$4:$Y$26) &lt;= 0.1, LOOKUP(J334, $Y$4:$Y$26), MIN(_xlfn._xlws.FILTER($Y$4:$Y$26, $Y$4:$Y$26&gt;=J334)))</f>
        <v>18</v>
      </c>
    </row>
    <row r="335" spans="1:19" x14ac:dyDescent="0.25">
      <c r="A335" t="s">
        <v>512</v>
      </c>
      <c r="B335" s="11">
        <f t="shared" si="31"/>
        <v>80</v>
      </c>
      <c r="C335" s="11" t="str">
        <f t="shared" si="32"/>
        <v>I W10X80</v>
      </c>
      <c r="D335" s="5" t="s">
        <v>415</v>
      </c>
      <c r="E335" s="5" t="str">
        <f t="shared" si="33"/>
        <v>H - 257 x 254 x 9.4 x 15.63</v>
      </c>
      <c r="F335" s="25">
        <v>80.360639999999989</v>
      </c>
      <c r="G335" s="6">
        <v>257</v>
      </c>
      <c r="H335" s="6">
        <v>254</v>
      </c>
      <c r="I335" s="6">
        <v>9.4</v>
      </c>
      <c r="J335" s="6">
        <v>15.629999999999999</v>
      </c>
      <c r="K335" s="6"/>
      <c r="L335" s="6">
        <v>10193.528</v>
      </c>
      <c r="N335" s="5" t="str">
        <f t="shared" si="34"/>
        <v>H - 257 x 254 x 10 x 16</v>
      </c>
      <c r="O335" s="25">
        <f t="shared" si="35"/>
        <v>81.467299999999994</v>
      </c>
      <c r="P335" s="6">
        <f t="shared" si="36"/>
        <v>257</v>
      </c>
      <c r="Q335" s="6">
        <f t="shared" si="36"/>
        <v>254</v>
      </c>
      <c r="R335" s="6" cm="1">
        <f t="array" ref="R335">IF(I335-LOOKUP(I335, $Y$4:$Y$26) &lt;= 0.1, LOOKUP(I335, $Y$4:$Y$26), MIN(_xlfn._xlws.FILTER($Y$4:$Y$26, $Y$4:$Y$26&gt;=I335)))</f>
        <v>10</v>
      </c>
      <c r="S335" s="6" cm="1">
        <f t="array" ref="S335">IF(J335-LOOKUP(J335, $Y$4:$Y$26) &lt;= 0.1, LOOKUP(J335, $Y$4:$Y$26), MIN(_xlfn._xlws.FILTER($Y$4:$Y$26, $Y$4:$Y$26&gt;=J335)))</f>
        <v>16</v>
      </c>
    </row>
    <row r="336" spans="1:19" x14ac:dyDescent="0.25">
      <c r="A336" t="s">
        <v>512</v>
      </c>
      <c r="B336" s="11">
        <f t="shared" si="31"/>
        <v>73</v>
      </c>
      <c r="C336" s="11" t="str">
        <f t="shared" si="32"/>
        <v>I W10X73</v>
      </c>
      <c r="D336" s="5" t="s">
        <v>416</v>
      </c>
      <c r="E336" s="5" t="str">
        <f t="shared" si="33"/>
        <v>H - 254 x 254 x 8.64 x 14.23</v>
      </c>
      <c r="F336" s="25">
        <v>72.919839999999994</v>
      </c>
      <c r="G336" s="6">
        <v>254</v>
      </c>
      <c r="H336" s="6">
        <v>254</v>
      </c>
      <c r="I336" s="6">
        <v>8.64</v>
      </c>
      <c r="J336" s="6">
        <v>14.23</v>
      </c>
      <c r="K336" s="6"/>
      <c r="L336" s="6">
        <v>9290.3040000000001</v>
      </c>
      <c r="N336" s="5" t="str">
        <f t="shared" si="34"/>
        <v>H - 254 x 254 x 10 x 16</v>
      </c>
      <c r="O336" s="25">
        <f t="shared" si="35"/>
        <v>81.231800000000007</v>
      </c>
      <c r="P336" s="6">
        <f t="shared" si="36"/>
        <v>254</v>
      </c>
      <c r="Q336" s="6">
        <f t="shared" si="36"/>
        <v>254</v>
      </c>
      <c r="R336" s="6" cm="1">
        <f t="array" ref="R336">IF(I336-LOOKUP(I336, $Y$4:$Y$26) &lt;= 0.1, LOOKUP(I336, $Y$4:$Y$26), MIN(_xlfn._xlws.FILTER($Y$4:$Y$26, $Y$4:$Y$26&gt;=I336)))</f>
        <v>10</v>
      </c>
      <c r="S336" s="6" cm="1">
        <f t="array" ref="S336">IF(J336-LOOKUP(J336, $Y$4:$Y$26) &lt;= 0.1, LOOKUP(J336, $Y$4:$Y$26), MIN(_xlfn._xlws.FILTER($Y$4:$Y$26, $Y$4:$Y$26&gt;=J336)))</f>
        <v>16</v>
      </c>
    </row>
    <row r="337" spans="1:19" x14ac:dyDescent="0.25">
      <c r="A337" t="s">
        <v>512</v>
      </c>
      <c r="B337" s="11">
        <f t="shared" si="31"/>
        <v>67</v>
      </c>
      <c r="C337" s="11" t="str">
        <f t="shared" si="32"/>
        <v>I W10X67</v>
      </c>
      <c r="D337" s="5" t="s">
        <v>417</v>
      </c>
      <c r="E337" s="5" t="str">
        <f t="shared" si="33"/>
        <v>H - 257 x 204 x 8.89 x 15.75</v>
      </c>
      <c r="F337" s="25">
        <v>66.967199999999991</v>
      </c>
      <c r="G337" s="6">
        <v>257</v>
      </c>
      <c r="H337" s="6">
        <v>204</v>
      </c>
      <c r="I337" s="6">
        <v>8.89</v>
      </c>
      <c r="J337" s="6">
        <v>15.75</v>
      </c>
      <c r="K337" s="6"/>
      <c r="L337" s="6">
        <v>8580.6280000000006</v>
      </c>
      <c r="N337" s="5" t="str">
        <f t="shared" si="34"/>
        <v>H - 257 x 204 x 10 x 16</v>
      </c>
      <c r="O337" s="25">
        <f t="shared" si="35"/>
        <v>68.907300000000006</v>
      </c>
      <c r="P337" s="6">
        <f t="shared" si="36"/>
        <v>257</v>
      </c>
      <c r="Q337" s="6">
        <f t="shared" si="36"/>
        <v>204</v>
      </c>
      <c r="R337" s="6" cm="1">
        <f t="array" ref="R337">IF(I337-LOOKUP(I337, $Y$4:$Y$26) &lt;= 0.1, LOOKUP(I337, $Y$4:$Y$26), MIN(_xlfn._xlws.FILTER($Y$4:$Y$26, $Y$4:$Y$26&gt;=I337)))</f>
        <v>10</v>
      </c>
      <c r="S337" s="6" cm="1">
        <f t="array" ref="S337">IF(J337-LOOKUP(J337, $Y$4:$Y$26) &lt;= 0.1, LOOKUP(J337, $Y$4:$Y$26), MIN(_xlfn._xlws.FILTER($Y$4:$Y$26, $Y$4:$Y$26&gt;=J337)))</f>
        <v>16</v>
      </c>
    </row>
    <row r="338" spans="1:19" x14ac:dyDescent="0.25">
      <c r="A338" t="s">
        <v>512</v>
      </c>
      <c r="B338" s="11">
        <f t="shared" si="31"/>
        <v>58</v>
      </c>
      <c r="C338" s="11" t="str">
        <f t="shared" si="32"/>
        <v>I W10X58</v>
      </c>
      <c r="D338" s="5" t="s">
        <v>418</v>
      </c>
      <c r="E338" s="5" t="str">
        <f t="shared" si="33"/>
        <v>H - 252 x 203 x 8.01 x 13.47</v>
      </c>
      <c r="F338" s="25">
        <v>58.038239999999995</v>
      </c>
      <c r="G338" s="6">
        <v>252</v>
      </c>
      <c r="H338" s="6">
        <v>203</v>
      </c>
      <c r="I338" s="6">
        <v>8.01</v>
      </c>
      <c r="J338" s="6">
        <v>13.47</v>
      </c>
      <c r="K338" s="6"/>
      <c r="L338" s="6">
        <v>7419.34</v>
      </c>
      <c r="N338" s="5" t="str">
        <f t="shared" si="34"/>
        <v>H - 252 x 203 x 8 x 14</v>
      </c>
      <c r="O338" s="25">
        <f t="shared" si="35"/>
        <v>58.686599999999999</v>
      </c>
      <c r="P338" s="6">
        <f t="shared" si="36"/>
        <v>252</v>
      </c>
      <c r="Q338" s="6">
        <f t="shared" si="36"/>
        <v>203</v>
      </c>
      <c r="R338" s="6" cm="1">
        <f t="array" ref="R338">IF(I338-LOOKUP(I338, $Y$4:$Y$26) &lt;= 0.1, LOOKUP(I338, $Y$4:$Y$26), MIN(_xlfn._xlws.FILTER($Y$4:$Y$26, $Y$4:$Y$26&gt;=I338)))</f>
        <v>8</v>
      </c>
      <c r="S338" s="6" cm="1">
        <f t="array" ref="S338">IF(J338-LOOKUP(J338, $Y$4:$Y$26) &lt;= 0.1, LOOKUP(J338, $Y$4:$Y$26), MIN(_xlfn._xlws.FILTER($Y$4:$Y$26, $Y$4:$Y$26&gt;=J338)))</f>
        <v>14</v>
      </c>
    </row>
    <row r="339" spans="1:19" x14ac:dyDescent="0.25">
      <c r="A339" t="s">
        <v>512</v>
      </c>
      <c r="B339" s="11">
        <f t="shared" si="31"/>
        <v>49</v>
      </c>
      <c r="C339" s="11" t="str">
        <f t="shared" si="32"/>
        <v>I W10X49</v>
      </c>
      <c r="D339" s="5" t="s">
        <v>419</v>
      </c>
      <c r="E339" s="5" t="str">
        <f t="shared" si="33"/>
        <v>H - 248 x 203 x 7.37 x 11.05</v>
      </c>
      <c r="F339" s="25">
        <v>49.109279999999998</v>
      </c>
      <c r="G339" s="6">
        <v>248</v>
      </c>
      <c r="H339" s="6">
        <v>203</v>
      </c>
      <c r="I339" s="6">
        <v>7.37</v>
      </c>
      <c r="J339" s="6">
        <v>11.049999999999999</v>
      </c>
      <c r="K339" s="6"/>
      <c r="L339" s="6">
        <v>6264.5036000000009</v>
      </c>
      <c r="N339" s="5" t="str">
        <f t="shared" si="34"/>
        <v>H - 248 x 203 x 8 x 12</v>
      </c>
      <c r="O339" s="25">
        <f t="shared" si="35"/>
        <v>52.312399999999997</v>
      </c>
      <c r="P339" s="6">
        <f t="shared" si="36"/>
        <v>248</v>
      </c>
      <c r="Q339" s="6">
        <f t="shared" si="36"/>
        <v>203</v>
      </c>
      <c r="R339" s="6" cm="1">
        <f t="array" ref="R339">IF(I339-LOOKUP(I339, $Y$4:$Y$26) &lt;= 0.1, LOOKUP(I339, $Y$4:$Y$26), MIN(_xlfn._xlws.FILTER($Y$4:$Y$26, $Y$4:$Y$26&gt;=I339)))</f>
        <v>8</v>
      </c>
      <c r="S339" s="6" cm="1">
        <f t="array" ref="S339">IF(J339-LOOKUP(J339, $Y$4:$Y$26) &lt;= 0.1, LOOKUP(J339, $Y$4:$Y$26), MIN(_xlfn._xlws.FILTER($Y$4:$Y$26, $Y$4:$Y$26&gt;=J339)))</f>
        <v>12</v>
      </c>
    </row>
    <row r="340" spans="1:19" x14ac:dyDescent="0.25">
      <c r="A340" t="s">
        <v>512</v>
      </c>
      <c r="B340" s="11">
        <f t="shared" si="31"/>
        <v>45</v>
      </c>
      <c r="C340" s="11" t="str">
        <f t="shared" si="32"/>
        <v>I W10X45</v>
      </c>
      <c r="D340" s="5" t="s">
        <v>420</v>
      </c>
      <c r="E340" s="5" t="str">
        <f t="shared" si="33"/>
        <v>H - 267 x 148 x 7.62 x 12.96</v>
      </c>
      <c r="F340" s="25">
        <v>44.644799999999996</v>
      </c>
      <c r="G340" s="6">
        <v>267</v>
      </c>
      <c r="H340" s="6">
        <v>148</v>
      </c>
      <c r="I340" s="6">
        <v>7.62</v>
      </c>
      <c r="J340" s="6">
        <v>12.959999999999999</v>
      </c>
      <c r="K340" s="6"/>
      <c r="L340" s="6">
        <v>5703.2143999999998</v>
      </c>
      <c r="N340" s="5" t="str">
        <f t="shared" si="34"/>
        <v>H - 267 x 148 x 8 x 14</v>
      </c>
      <c r="O340" s="25">
        <f t="shared" si="35"/>
        <v>47.5396</v>
      </c>
      <c r="P340" s="6">
        <f t="shared" si="36"/>
        <v>267</v>
      </c>
      <c r="Q340" s="6">
        <f t="shared" si="36"/>
        <v>148</v>
      </c>
      <c r="R340" s="6" cm="1">
        <f t="array" ref="R340">IF(I340-LOOKUP(I340, $Y$4:$Y$26) &lt;= 0.1, LOOKUP(I340, $Y$4:$Y$26), MIN(_xlfn._xlws.FILTER($Y$4:$Y$26, $Y$4:$Y$26&gt;=I340)))</f>
        <v>8</v>
      </c>
      <c r="S340" s="6" cm="1">
        <f t="array" ref="S340">IF(J340-LOOKUP(J340, $Y$4:$Y$26) &lt;= 0.1, LOOKUP(J340, $Y$4:$Y$26), MIN(_xlfn._xlws.FILTER($Y$4:$Y$26, $Y$4:$Y$26&gt;=J340)))</f>
        <v>14</v>
      </c>
    </row>
    <row r="341" spans="1:19" x14ac:dyDescent="0.25">
      <c r="A341" t="s">
        <v>512</v>
      </c>
      <c r="B341" s="11">
        <f t="shared" si="31"/>
        <v>39</v>
      </c>
      <c r="C341" s="11" t="str">
        <f t="shared" si="32"/>
        <v>I W10X39</v>
      </c>
      <c r="D341" s="5" t="s">
        <v>421</v>
      </c>
      <c r="E341" s="5" t="str">
        <f t="shared" si="33"/>
        <v>H - 262 x 147 x 6.61 x 11.18</v>
      </c>
      <c r="F341" s="25">
        <v>38.692160000000001</v>
      </c>
      <c r="G341" s="6">
        <v>262</v>
      </c>
      <c r="H341" s="6">
        <v>147</v>
      </c>
      <c r="I341" s="6">
        <v>6.6099999999999994</v>
      </c>
      <c r="J341" s="6">
        <v>11.18</v>
      </c>
      <c r="K341" s="6"/>
      <c r="L341" s="6">
        <v>4909.6675999999998</v>
      </c>
      <c r="N341" s="5" t="str">
        <f t="shared" si="34"/>
        <v>H - 262 x 147 x 8 x 12</v>
      </c>
      <c r="O341" s="25">
        <f t="shared" si="35"/>
        <v>42.641199999999998</v>
      </c>
      <c r="P341" s="6">
        <f t="shared" si="36"/>
        <v>262</v>
      </c>
      <c r="Q341" s="6">
        <f t="shared" si="36"/>
        <v>147</v>
      </c>
      <c r="R341" s="6" cm="1">
        <f t="array" ref="R341">IF(I341-LOOKUP(I341, $Y$4:$Y$26) &lt;= 0.1, LOOKUP(I341, $Y$4:$Y$26), MIN(_xlfn._xlws.FILTER($Y$4:$Y$26, $Y$4:$Y$26&gt;=I341)))</f>
        <v>8</v>
      </c>
      <c r="S341" s="6" cm="1">
        <f t="array" ref="S341">IF(J341-LOOKUP(J341, $Y$4:$Y$26) &lt;= 0.1, LOOKUP(J341, $Y$4:$Y$26), MIN(_xlfn._xlws.FILTER($Y$4:$Y$26, $Y$4:$Y$26&gt;=J341)))</f>
        <v>12</v>
      </c>
    </row>
    <row r="342" spans="1:19" x14ac:dyDescent="0.25">
      <c r="A342" t="s">
        <v>512</v>
      </c>
      <c r="B342" s="11">
        <f t="shared" si="31"/>
        <v>33</v>
      </c>
      <c r="C342" s="11" t="str">
        <f t="shared" si="32"/>
        <v>I W10X33</v>
      </c>
      <c r="D342" s="5" t="s">
        <v>422</v>
      </c>
      <c r="E342" s="5" t="str">
        <f t="shared" si="33"/>
        <v>H - 260 x 147 x 6.1 x 9.15</v>
      </c>
      <c r="F342" s="25">
        <v>32.739519999999999</v>
      </c>
      <c r="G342" s="6">
        <v>260</v>
      </c>
      <c r="H342" s="6">
        <v>147</v>
      </c>
      <c r="I342" s="6">
        <v>6.1</v>
      </c>
      <c r="J342" s="6">
        <v>9.15</v>
      </c>
      <c r="K342" s="6"/>
      <c r="L342" s="6">
        <v>4187.0884000000005</v>
      </c>
      <c r="N342" s="5" t="str">
        <f t="shared" si="34"/>
        <v>H - 260 x 147 x 6 x 10</v>
      </c>
      <c r="O342" s="25">
        <f t="shared" si="35"/>
        <v>34.383000000000003</v>
      </c>
      <c r="P342" s="6">
        <f t="shared" si="36"/>
        <v>260</v>
      </c>
      <c r="Q342" s="6">
        <f t="shared" si="36"/>
        <v>147</v>
      </c>
      <c r="R342" s="6" cm="1">
        <f t="array" ref="R342">IF(I342-LOOKUP(I342, $Y$4:$Y$26) &lt;= 0.1, LOOKUP(I342, $Y$4:$Y$26), MIN(_xlfn._xlws.FILTER($Y$4:$Y$26, $Y$4:$Y$26&gt;=I342)))</f>
        <v>6</v>
      </c>
      <c r="S342" s="6" cm="1">
        <f t="array" ref="S342">IF(J342-LOOKUP(J342, $Y$4:$Y$26) &lt;= 0.1, LOOKUP(J342, $Y$4:$Y$26), MIN(_xlfn._xlws.FILTER($Y$4:$Y$26, $Y$4:$Y$26&gt;=J342)))</f>
        <v>10</v>
      </c>
    </row>
    <row r="343" spans="1:19" x14ac:dyDescent="0.25">
      <c r="A343" t="s">
        <v>512</v>
      </c>
      <c r="B343" s="11">
        <f t="shared" si="31"/>
        <v>28</v>
      </c>
      <c r="C343" s="11" t="str">
        <f t="shared" si="32"/>
        <v>I W10X28</v>
      </c>
      <c r="D343" s="5" t="s">
        <v>423</v>
      </c>
      <c r="E343" s="5" t="str">
        <f t="shared" si="33"/>
        <v>I - 260 x 103 x 6.35 x 10.04</v>
      </c>
      <c r="F343" s="25">
        <v>28.275039999999997</v>
      </c>
      <c r="G343" s="6">
        <v>260</v>
      </c>
      <c r="H343" s="6">
        <v>103</v>
      </c>
      <c r="I343" s="6">
        <v>6.35</v>
      </c>
      <c r="J343" s="6">
        <v>10.039999999999999</v>
      </c>
      <c r="K343" s="6"/>
      <c r="L343" s="6">
        <v>3625.7991999999999</v>
      </c>
      <c r="N343" s="5" t="str">
        <f t="shared" si="34"/>
        <v>I - 260 x 103 x 8 x 10</v>
      </c>
      <c r="O343" s="25">
        <f t="shared" si="35"/>
        <v>31.242999999999999</v>
      </c>
      <c r="P343" s="6">
        <f t="shared" si="36"/>
        <v>260</v>
      </c>
      <c r="Q343" s="6">
        <f t="shared" si="36"/>
        <v>103</v>
      </c>
      <c r="R343" s="6" cm="1">
        <f t="array" ref="R343">IF(I343-LOOKUP(I343, $Y$4:$Y$26) &lt;= 0.1, LOOKUP(I343, $Y$4:$Y$26), MIN(_xlfn._xlws.FILTER($Y$4:$Y$26, $Y$4:$Y$26&gt;=I343)))</f>
        <v>8</v>
      </c>
      <c r="S343" s="6" cm="1">
        <f t="array" ref="S343">IF(J343-LOOKUP(J343, $Y$4:$Y$26) &lt;= 0.1, LOOKUP(J343, $Y$4:$Y$26), MIN(_xlfn._xlws.FILTER($Y$4:$Y$26, $Y$4:$Y$26&gt;=J343)))</f>
        <v>10</v>
      </c>
    </row>
    <row r="344" spans="1:19" x14ac:dyDescent="0.25">
      <c r="A344" t="s">
        <v>512</v>
      </c>
      <c r="B344" s="11">
        <f t="shared" si="31"/>
        <v>25</v>
      </c>
      <c r="C344" s="11" t="str">
        <f t="shared" si="32"/>
        <v>I W10X25</v>
      </c>
      <c r="D344" s="5" t="s">
        <v>424</v>
      </c>
      <c r="E344" s="5" t="str">
        <f t="shared" si="33"/>
        <v>I - 257 x 102 x 6.1 x 8.39</v>
      </c>
      <c r="F344" s="25">
        <v>25.298719999999999</v>
      </c>
      <c r="G344" s="6">
        <v>257</v>
      </c>
      <c r="H344" s="6">
        <v>102</v>
      </c>
      <c r="I344" s="6">
        <v>6.1</v>
      </c>
      <c r="J344" s="6">
        <v>8.39</v>
      </c>
      <c r="K344" s="6"/>
      <c r="L344" s="6">
        <v>3219.3483999999999</v>
      </c>
      <c r="N344" s="5" t="str">
        <f t="shared" si="34"/>
        <v>I - 257 x 102 x 6 x 10</v>
      </c>
      <c r="O344" s="25">
        <f t="shared" si="35"/>
        <v>27.1767</v>
      </c>
      <c r="P344" s="6">
        <f t="shared" si="36"/>
        <v>257</v>
      </c>
      <c r="Q344" s="6">
        <f t="shared" si="36"/>
        <v>102</v>
      </c>
      <c r="R344" s="6" cm="1">
        <f t="array" ref="R344">IF(I344-LOOKUP(I344, $Y$4:$Y$26) &lt;= 0.1, LOOKUP(I344, $Y$4:$Y$26), MIN(_xlfn._xlws.FILTER($Y$4:$Y$26, $Y$4:$Y$26&gt;=I344)))</f>
        <v>6</v>
      </c>
      <c r="S344" s="6" cm="1">
        <f t="array" ref="S344">IF(J344-LOOKUP(J344, $Y$4:$Y$26) &lt;= 0.1, LOOKUP(J344, $Y$4:$Y$26), MIN(_xlfn._xlws.FILTER($Y$4:$Y$26, $Y$4:$Y$26&gt;=J344)))</f>
        <v>10</v>
      </c>
    </row>
    <row r="345" spans="1:19" x14ac:dyDescent="0.25">
      <c r="A345" t="s">
        <v>512</v>
      </c>
      <c r="B345" s="11">
        <f t="shared" si="31"/>
        <v>22</v>
      </c>
      <c r="C345" s="11" t="str">
        <f t="shared" si="32"/>
        <v>I W10X22</v>
      </c>
      <c r="D345" s="5" t="s">
        <v>425</v>
      </c>
      <c r="E345" s="5" t="str">
        <f t="shared" si="33"/>
        <v>I - 254 x 102 x 5.85 x 6.86</v>
      </c>
      <c r="F345" s="25">
        <v>22.322399999999998</v>
      </c>
      <c r="G345" s="6">
        <v>254</v>
      </c>
      <c r="H345" s="6">
        <v>102</v>
      </c>
      <c r="I345" s="6">
        <v>5.85</v>
      </c>
      <c r="J345" s="6">
        <v>6.8599999999999994</v>
      </c>
      <c r="K345" s="6"/>
      <c r="L345" s="6">
        <v>2845.1556</v>
      </c>
      <c r="N345" s="5" t="str">
        <f t="shared" si="34"/>
        <v>I - 254 x 102 x 6 x 8</v>
      </c>
      <c r="O345" s="25">
        <f t="shared" si="35"/>
        <v>24.021000000000001</v>
      </c>
      <c r="P345" s="6">
        <f t="shared" si="36"/>
        <v>254</v>
      </c>
      <c r="Q345" s="6">
        <f t="shared" si="36"/>
        <v>102</v>
      </c>
      <c r="R345" s="6" cm="1">
        <f t="array" ref="R345">IF(I345-LOOKUP(I345, $Y$4:$Y$26) &lt;= 0.1, LOOKUP(I345, $Y$4:$Y$26), MIN(_xlfn._xlws.FILTER($Y$4:$Y$26, $Y$4:$Y$26&gt;=I345)))</f>
        <v>6</v>
      </c>
      <c r="S345" s="6" cm="1">
        <f t="array" ref="S345">IF(J345-LOOKUP(J345, $Y$4:$Y$26) &lt;= 0.1, LOOKUP(J345, $Y$4:$Y$26), MIN(_xlfn._xlws.FILTER($Y$4:$Y$26, $Y$4:$Y$26&gt;=J345)))</f>
        <v>8</v>
      </c>
    </row>
    <row r="346" spans="1:19" x14ac:dyDescent="0.25">
      <c r="A346" t="s">
        <v>512</v>
      </c>
      <c r="B346" s="11">
        <f t="shared" si="31"/>
        <v>18</v>
      </c>
      <c r="C346" s="11" t="str">
        <f t="shared" si="32"/>
        <v>I W10X18</v>
      </c>
      <c r="D346" s="5" t="s">
        <v>426</v>
      </c>
      <c r="E346" s="5" t="str">
        <f t="shared" si="33"/>
        <v>I - 251 x 101 x 4.83 x 5.34</v>
      </c>
      <c r="F346" s="25">
        <v>17.85792</v>
      </c>
      <c r="G346" s="6">
        <v>251</v>
      </c>
      <c r="H346" s="6">
        <v>101</v>
      </c>
      <c r="I346" s="6">
        <v>4.83</v>
      </c>
      <c r="J346" s="6">
        <v>5.34</v>
      </c>
      <c r="K346" s="6"/>
      <c r="L346" s="6">
        <v>2283.8663999999999</v>
      </c>
      <c r="N346" s="5" t="str">
        <f t="shared" si="34"/>
        <v>I - 251 x 101 x 6 x 6</v>
      </c>
      <c r="O346" s="25">
        <f t="shared" si="35"/>
        <v>20.771100000000001</v>
      </c>
      <c r="P346" s="6">
        <f t="shared" si="36"/>
        <v>251</v>
      </c>
      <c r="Q346" s="6">
        <f t="shared" si="36"/>
        <v>101</v>
      </c>
      <c r="R346" s="6" cm="1">
        <f t="array" ref="R346">IF(I346-LOOKUP(I346, $Y$4:$Y$26) &lt;= 0.1, LOOKUP(I346, $Y$4:$Y$26), MIN(_xlfn._xlws.FILTER($Y$4:$Y$26, $Y$4:$Y$26&gt;=I346)))</f>
        <v>6</v>
      </c>
      <c r="S346" s="6" cm="1">
        <f t="array" ref="S346">IF(J346-LOOKUP(J346, $Y$4:$Y$26) &lt;= 0.1, LOOKUP(J346, $Y$4:$Y$26), MIN(_xlfn._xlws.FILTER($Y$4:$Y$26, $Y$4:$Y$26&gt;=J346)))</f>
        <v>6</v>
      </c>
    </row>
    <row r="347" spans="1:19" x14ac:dyDescent="0.25">
      <c r="A347" t="s">
        <v>513</v>
      </c>
      <c r="B347" s="11">
        <f t="shared" si="31"/>
        <v>100</v>
      </c>
      <c r="C347" s="11" t="str">
        <f t="shared" si="32"/>
        <v>I W8X100</v>
      </c>
      <c r="D347" s="5" t="s">
        <v>427</v>
      </c>
      <c r="E347" s="5" t="str">
        <f t="shared" si="33"/>
        <v>H - 229 x 211 x 14.48 x 23.75</v>
      </c>
      <c r="F347" s="25">
        <v>99.70671999999999</v>
      </c>
      <c r="G347" s="6">
        <v>229</v>
      </c>
      <c r="H347" s="6">
        <v>211</v>
      </c>
      <c r="I347" s="6">
        <v>14.48</v>
      </c>
      <c r="J347" s="6">
        <v>23.75</v>
      </c>
      <c r="K347" s="6"/>
      <c r="L347" s="6">
        <v>12709.651999999998</v>
      </c>
      <c r="N347" s="5" t="str">
        <f t="shared" si="34"/>
        <v>H - 229 x 211 x 16 x 25</v>
      </c>
      <c r="O347" s="25">
        <f t="shared" si="35"/>
        <v>105.29989999999999</v>
      </c>
      <c r="P347" s="6">
        <f t="shared" si="36"/>
        <v>229</v>
      </c>
      <c r="Q347" s="6">
        <f t="shared" si="36"/>
        <v>211</v>
      </c>
      <c r="R347" s="6" cm="1">
        <f t="array" ref="R347">IF(I347-LOOKUP(I347, $Y$4:$Y$26) &lt;= 0.1, LOOKUP(I347, $Y$4:$Y$26), MIN(_xlfn._xlws.FILTER($Y$4:$Y$26, $Y$4:$Y$26&gt;=I347)))</f>
        <v>16</v>
      </c>
      <c r="S347" s="6" cm="1">
        <f t="array" ref="S347">IF(J347-LOOKUP(J347, $Y$4:$Y$26) &lt;= 0.1, LOOKUP(J347, $Y$4:$Y$26), MIN(_xlfn._xlws.FILTER($Y$4:$Y$26, $Y$4:$Y$26&gt;=J347)))</f>
        <v>25</v>
      </c>
    </row>
    <row r="348" spans="1:19" x14ac:dyDescent="0.25">
      <c r="A348" t="s">
        <v>513</v>
      </c>
      <c r="B348" s="11">
        <f t="shared" si="31"/>
        <v>86</v>
      </c>
      <c r="C348" s="11" t="str">
        <f t="shared" si="32"/>
        <v>I W8X86</v>
      </c>
      <c r="D348" s="5" t="s">
        <v>428</v>
      </c>
      <c r="E348" s="5" t="str">
        <f t="shared" si="33"/>
        <v>H - 223 x 209 x 12.96 x 20.58</v>
      </c>
      <c r="F348" s="25">
        <v>86.313279999999992</v>
      </c>
      <c r="G348" s="6">
        <v>223</v>
      </c>
      <c r="H348" s="6">
        <v>209</v>
      </c>
      <c r="I348" s="6">
        <v>12.959999999999999</v>
      </c>
      <c r="J348" s="6">
        <v>20.580000000000002</v>
      </c>
      <c r="K348" s="6"/>
      <c r="L348" s="6">
        <v>11032.236000000001</v>
      </c>
      <c r="N348" s="5" t="str">
        <f t="shared" si="34"/>
        <v>H - 223 x 209 x 14 x 22</v>
      </c>
      <c r="O348" s="25">
        <f t="shared" si="35"/>
        <v>91.860699999999994</v>
      </c>
      <c r="P348" s="6">
        <f t="shared" si="36"/>
        <v>223</v>
      </c>
      <c r="Q348" s="6">
        <f t="shared" si="36"/>
        <v>209</v>
      </c>
      <c r="R348" s="6" cm="1">
        <f t="array" ref="R348">IF(I348-LOOKUP(I348, $Y$4:$Y$26) &lt;= 0.1, LOOKUP(I348, $Y$4:$Y$26), MIN(_xlfn._xlws.FILTER($Y$4:$Y$26, $Y$4:$Y$26&gt;=I348)))</f>
        <v>14</v>
      </c>
      <c r="S348" s="6" cm="1">
        <f t="array" ref="S348">IF(J348-LOOKUP(J348, $Y$4:$Y$26) &lt;= 0.1, LOOKUP(J348, $Y$4:$Y$26), MIN(_xlfn._xlws.FILTER($Y$4:$Y$26, $Y$4:$Y$26&gt;=J348)))</f>
        <v>22</v>
      </c>
    </row>
    <row r="349" spans="1:19" x14ac:dyDescent="0.25">
      <c r="A349" t="s">
        <v>513</v>
      </c>
      <c r="B349" s="11">
        <f t="shared" si="31"/>
        <v>71</v>
      </c>
      <c r="C349" s="11" t="str">
        <f t="shared" si="32"/>
        <v>I W8X71</v>
      </c>
      <c r="D349" s="5" t="s">
        <v>429</v>
      </c>
      <c r="E349" s="5" t="str">
        <f t="shared" si="33"/>
        <v>H - 216 x 206 x 10.16 x 17.4</v>
      </c>
      <c r="F349" s="25">
        <v>71.43168</v>
      </c>
      <c r="G349" s="6">
        <v>216</v>
      </c>
      <c r="H349" s="6">
        <v>206</v>
      </c>
      <c r="I349" s="6">
        <v>10.16</v>
      </c>
      <c r="J349" s="6">
        <v>17.400000000000002</v>
      </c>
      <c r="K349" s="6"/>
      <c r="L349" s="6">
        <v>9096.7559999999994</v>
      </c>
      <c r="N349" s="5" t="str">
        <f t="shared" si="34"/>
        <v>H - 216 x 206 x 12 x 18</v>
      </c>
      <c r="O349" s="25">
        <f t="shared" si="35"/>
        <v>75.171599999999998</v>
      </c>
      <c r="P349" s="6">
        <f t="shared" si="36"/>
        <v>216</v>
      </c>
      <c r="Q349" s="6">
        <f t="shared" si="36"/>
        <v>206</v>
      </c>
      <c r="R349" s="6" cm="1">
        <f t="array" ref="R349">IF(I349-LOOKUP(I349, $Y$4:$Y$26) &lt;= 0.1, LOOKUP(I349, $Y$4:$Y$26), MIN(_xlfn._xlws.FILTER($Y$4:$Y$26, $Y$4:$Y$26&gt;=I349)))</f>
        <v>12</v>
      </c>
      <c r="S349" s="6" cm="1">
        <f t="array" ref="S349">IF(J349-LOOKUP(J349, $Y$4:$Y$26) &lt;= 0.1, LOOKUP(J349, $Y$4:$Y$26), MIN(_xlfn._xlws.FILTER($Y$4:$Y$26, $Y$4:$Y$26&gt;=J349)))</f>
        <v>18</v>
      </c>
    </row>
    <row r="350" spans="1:19" x14ac:dyDescent="0.25">
      <c r="A350" t="s">
        <v>513</v>
      </c>
      <c r="B350" s="11">
        <f t="shared" si="31"/>
        <v>60</v>
      </c>
      <c r="C350" s="11" t="str">
        <f t="shared" si="32"/>
        <v>I W8X60</v>
      </c>
      <c r="D350" s="5" t="s">
        <v>430</v>
      </c>
      <c r="E350" s="5" t="str">
        <f t="shared" si="33"/>
        <v>H - 210 x 205 x 9.15 x 14.23</v>
      </c>
      <c r="F350" s="25">
        <v>59.526399999999995</v>
      </c>
      <c r="G350" s="6">
        <v>210</v>
      </c>
      <c r="H350" s="6">
        <v>205</v>
      </c>
      <c r="I350" s="6">
        <v>9.15</v>
      </c>
      <c r="J350" s="6">
        <v>14.23</v>
      </c>
      <c r="K350" s="6"/>
      <c r="L350" s="6">
        <v>7548.3719999999994</v>
      </c>
      <c r="N350" s="5" t="str">
        <f t="shared" si="34"/>
        <v>H - 210 x 205 x 10 x 16</v>
      </c>
      <c r="O350" s="25">
        <f t="shared" si="35"/>
        <v>65.468999999999994</v>
      </c>
      <c r="P350" s="6">
        <f t="shared" si="36"/>
        <v>210</v>
      </c>
      <c r="Q350" s="6">
        <f t="shared" si="36"/>
        <v>205</v>
      </c>
      <c r="R350" s="6" cm="1">
        <f t="array" ref="R350">IF(I350-LOOKUP(I350, $Y$4:$Y$26) &lt;= 0.1, LOOKUP(I350, $Y$4:$Y$26), MIN(_xlfn._xlws.FILTER($Y$4:$Y$26, $Y$4:$Y$26&gt;=I350)))</f>
        <v>10</v>
      </c>
      <c r="S350" s="6" cm="1">
        <f t="array" ref="S350">IF(J350-LOOKUP(J350, $Y$4:$Y$26) &lt;= 0.1, LOOKUP(J350, $Y$4:$Y$26), MIN(_xlfn._xlws.FILTER($Y$4:$Y$26, $Y$4:$Y$26&gt;=J350)))</f>
        <v>16</v>
      </c>
    </row>
    <row r="351" spans="1:19" x14ac:dyDescent="0.25">
      <c r="A351" t="s">
        <v>513</v>
      </c>
      <c r="B351" s="11">
        <f t="shared" si="31"/>
        <v>52</v>
      </c>
      <c r="C351" s="11" t="str">
        <f t="shared" si="32"/>
        <v>I W8X52</v>
      </c>
      <c r="D351" s="5" t="s">
        <v>431</v>
      </c>
      <c r="E351" s="5" t="str">
        <f t="shared" si="33"/>
        <v>H - 207 x 204 x 7.88 x 12.58</v>
      </c>
      <c r="F351" s="25">
        <v>52.085599999999999</v>
      </c>
      <c r="G351" s="6">
        <v>207</v>
      </c>
      <c r="H351" s="6">
        <v>204</v>
      </c>
      <c r="I351" s="6">
        <v>7.88</v>
      </c>
      <c r="J351" s="6">
        <v>12.58</v>
      </c>
      <c r="K351" s="6"/>
      <c r="L351" s="6">
        <v>6645.1480000000001</v>
      </c>
      <c r="N351" s="5" t="str">
        <f t="shared" si="34"/>
        <v>H - 207 x 204 x 8 x 14</v>
      </c>
      <c r="O351" s="25">
        <f t="shared" si="35"/>
        <v>56.080399999999997</v>
      </c>
      <c r="P351" s="6">
        <f t="shared" si="36"/>
        <v>207</v>
      </c>
      <c r="Q351" s="6">
        <f t="shared" si="36"/>
        <v>204</v>
      </c>
      <c r="R351" s="6" cm="1">
        <f t="array" ref="R351">IF(I351-LOOKUP(I351, $Y$4:$Y$26) &lt;= 0.1, LOOKUP(I351, $Y$4:$Y$26), MIN(_xlfn._xlws.FILTER($Y$4:$Y$26, $Y$4:$Y$26&gt;=I351)))</f>
        <v>8</v>
      </c>
      <c r="S351" s="6" cm="1">
        <f t="array" ref="S351">IF(J351-LOOKUP(J351, $Y$4:$Y$26) &lt;= 0.1, LOOKUP(J351, $Y$4:$Y$26), MIN(_xlfn._xlws.FILTER($Y$4:$Y$26, $Y$4:$Y$26&gt;=J351)))</f>
        <v>14</v>
      </c>
    </row>
    <row r="352" spans="1:19" x14ac:dyDescent="0.25">
      <c r="A352" t="s">
        <v>513</v>
      </c>
      <c r="B352" s="11">
        <f t="shared" si="31"/>
        <v>46</v>
      </c>
      <c r="C352" s="11" t="str">
        <f t="shared" si="32"/>
        <v>I W8X46</v>
      </c>
      <c r="D352" s="5" t="s">
        <v>432</v>
      </c>
      <c r="E352" s="5" t="str">
        <f t="shared" si="33"/>
        <v>H - 204 x 204 x 7.24 x 11.05</v>
      </c>
      <c r="F352" s="25">
        <v>46.132959999999997</v>
      </c>
      <c r="G352" s="6">
        <v>204</v>
      </c>
      <c r="H352" s="6">
        <v>204</v>
      </c>
      <c r="I352" s="6">
        <v>7.24</v>
      </c>
      <c r="J352" s="6">
        <v>11.049999999999999</v>
      </c>
      <c r="K352" s="6"/>
      <c r="L352" s="6">
        <v>5890.3108000000002</v>
      </c>
      <c r="N352" s="5" t="str">
        <f t="shared" si="34"/>
        <v>H - 204 x 204 x 8 x 12</v>
      </c>
      <c r="O352" s="25">
        <f t="shared" si="35"/>
        <v>49.7376</v>
      </c>
      <c r="P352" s="6">
        <f t="shared" si="36"/>
        <v>204</v>
      </c>
      <c r="Q352" s="6">
        <f t="shared" si="36"/>
        <v>204</v>
      </c>
      <c r="R352" s="6" cm="1">
        <f t="array" ref="R352">IF(I352-LOOKUP(I352, $Y$4:$Y$26) &lt;= 0.1, LOOKUP(I352, $Y$4:$Y$26), MIN(_xlfn._xlws.FILTER($Y$4:$Y$26, $Y$4:$Y$26&gt;=I352)))</f>
        <v>8</v>
      </c>
      <c r="S352" s="6" cm="1">
        <f t="array" ref="S352">IF(J352-LOOKUP(J352, $Y$4:$Y$26) &lt;= 0.1, LOOKUP(J352, $Y$4:$Y$26), MIN(_xlfn._xlws.FILTER($Y$4:$Y$26, $Y$4:$Y$26&gt;=J352)))</f>
        <v>12</v>
      </c>
    </row>
    <row r="353" spans="1:19" x14ac:dyDescent="0.25">
      <c r="A353" t="s">
        <v>513</v>
      </c>
      <c r="B353" s="11">
        <f t="shared" si="31"/>
        <v>42</v>
      </c>
      <c r="C353" s="11" t="str">
        <f t="shared" si="32"/>
        <v>I W8X42</v>
      </c>
      <c r="D353" s="5" t="s">
        <v>433</v>
      </c>
      <c r="E353" s="5" t="str">
        <f t="shared" si="33"/>
        <v>H - 205 x 167 x 7.24 x 11.82</v>
      </c>
      <c r="F353" s="25">
        <v>41.668479999999995</v>
      </c>
      <c r="G353" s="6">
        <v>205</v>
      </c>
      <c r="H353" s="6">
        <v>167</v>
      </c>
      <c r="I353" s="6">
        <v>7.24</v>
      </c>
      <c r="J353" s="6">
        <v>11.82</v>
      </c>
      <c r="K353" s="6"/>
      <c r="L353" s="6">
        <v>5322.57</v>
      </c>
      <c r="N353" s="5" t="str">
        <f t="shared" si="34"/>
        <v>H - 205 x 167 x 8 x 12</v>
      </c>
      <c r="O353" s="25">
        <f t="shared" si="35"/>
        <v>42.829599999999999</v>
      </c>
      <c r="P353" s="6">
        <f t="shared" si="36"/>
        <v>205</v>
      </c>
      <c r="Q353" s="6">
        <f t="shared" si="36"/>
        <v>167</v>
      </c>
      <c r="R353" s="6" cm="1">
        <f t="array" ref="R353">IF(I353-LOOKUP(I353, $Y$4:$Y$26) &lt;= 0.1, LOOKUP(I353, $Y$4:$Y$26), MIN(_xlfn._xlws.FILTER($Y$4:$Y$26, $Y$4:$Y$26&gt;=I353)))</f>
        <v>8</v>
      </c>
      <c r="S353" s="6" cm="1">
        <f t="array" ref="S353">IF(J353-LOOKUP(J353, $Y$4:$Y$26) &lt;= 0.1, LOOKUP(J353, $Y$4:$Y$26), MIN(_xlfn._xlws.FILTER($Y$4:$Y$26, $Y$4:$Y$26&gt;=J353)))</f>
        <v>12</v>
      </c>
    </row>
    <row r="354" spans="1:19" x14ac:dyDescent="0.25">
      <c r="A354" t="s">
        <v>513</v>
      </c>
      <c r="B354" s="11">
        <f t="shared" si="31"/>
        <v>36</v>
      </c>
      <c r="C354" s="11" t="str">
        <f t="shared" si="32"/>
        <v>I W8X36</v>
      </c>
      <c r="D354" s="5" t="s">
        <v>434</v>
      </c>
      <c r="E354" s="5" t="str">
        <f t="shared" si="33"/>
        <v>H - 202 x 166 x 6.23 x 10.16</v>
      </c>
      <c r="F354" s="25">
        <v>35.71584</v>
      </c>
      <c r="G354" s="6">
        <v>202</v>
      </c>
      <c r="H354" s="6">
        <v>166</v>
      </c>
      <c r="I354" s="6">
        <v>6.2299999999999995</v>
      </c>
      <c r="J354" s="6">
        <v>10.16</v>
      </c>
      <c r="K354" s="6"/>
      <c r="L354" s="6">
        <v>4567.7327999999998</v>
      </c>
      <c r="N354" s="5" t="str">
        <f t="shared" si="34"/>
        <v>H - 202 x 166 x 8 x 12</v>
      </c>
      <c r="O354" s="25">
        <f t="shared" si="35"/>
        <v>42.452800000000003</v>
      </c>
      <c r="P354" s="6">
        <f t="shared" si="36"/>
        <v>202</v>
      </c>
      <c r="Q354" s="6">
        <f t="shared" si="36"/>
        <v>166</v>
      </c>
      <c r="R354" s="6" cm="1">
        <f t="array" ref="R354">IF(I354-LOOKUP(I354, $Y$4:$Y$26) &lt;= 0.1, LOOKUP(I354, $Y$4:$Y$26), MIN(_xlfn._xlws.FILTER($Y$4:$Y$26, $Y$4:$Y$26&gt;=I354)))</f>
        <v>8</v>
      </c>
      <c r="S354" s="6" cm="1">
        <f t="array" ref="S354">IF(J354-LOOKUP(J354, $Y$4:$Y$26) &lt;= 0.1, LOOKUP(J354, $Y$4:$Y$26), MIN(_xlfn._xlws.FILTER($Y$4:$Y$26, $Y$4:$Y$26&gt;=J354)))</f>
        <v>12</v>
      </c>
    </row>
    <row r="355" spans="1:19" x14ac:dyDescent="0.25">
      <c r="A355" t="s">
        <v>513</v>
      </c>
      <c r="B355" s="11">
        <f t="shared" si="31"/>
        <v>31</v>
      </c>
      <c r="C355" s="11" t="str">
        <f t="shared" si="32"/>
        <v>I W8X31</v>
      </c>
      <c r="D355" s="5" t="s">
        <v>435</v>
      </c>
      <c r="E355" s="5" t="str">
        <f t="shared" si="33"/>
        <v>H - 211 x 134 x 6.35 x 10.16</v>
      </c>
      <c r="F355" s="25">
        <v>31.251359999999998</v>
      </c>
      <c r="G355" s="6">
        <v>211</v>
      </c>
      <c r="H355" s="6">
        <v>134</v>
      </c>
      <c r="I355" s="6">
        <v>6.35</v>
      </c>
      <c r="J355" s="6">
        <v>10.16</v>
      </c>
      <c r="K355" s="6"/>
      <c r="L355" s="6">
        <v>3974.1856000000002</v>
      </c>
      <c r="N355" s="5" t="str">
        <f t="shared" si="34"/>
        <v>H - 211 x 134 x 8 x 12</v>
      </c>
      <c r="O355" s="25">
        <f t="shared" si="35"/>
        <v>36.989199999999997</v>
      </c>
      <c r="P355" s="6">
        <f t="shared" si="36"/>
        <v>211</v>
      </c>
      <c r="Q355" s="6">
        <f t="shared" si="36"/>
        <v>134</v>
      </c>
      <c r="R355" s="6" cm="1">
        <f t="array" ref="R355">IF(I355-LOOKUP(I355, $Y$4:$Y$26) &lt;= 0.1, LOOKUP(I355, $Y$4:$Y$26), MIN(_xlfn._xlws.FILTER($Y$4:$Y$26, $Y$4:$Y$26&gt;=I355)))</f>
        <v>8</v>
      </c>
      <c r="S355" s="6" cm="1">
        <f t="array" ref="S355">IF(J355-LOOKUP(J355, $Y$4:$Y$26) &lt;= 0.1, LOOKUP(J355, $Y$4:$Y$26), MIN(_xlfn._xlws.FILTER($Y$4:$Y$26, $Y$4:$Y$26&gt;=J355)))</f>
        <v>12</v>
      </c>
    </row>
    <row r="356" spans="1:19" x14ac:dyDescent="0.25">
      <c r="A356" t="s">
        <v>513</v>
      </c>
      <c r="B356" s="11">
        <f t="shared" si="31"/>
        <v>27</v>
      </c>
      <c r="C356" s="11" t="str">
        <f t="shared" si="32"/>
        <v>I W8X27</v>
      </c>
      <c r="D356" s="5" t="s">
        <v>436</v>
      </c>
      <c r="E356" s="5" t="str">
        <f t="shared" si="33"/>
        <v>H - 207 x 134 x 5.85 x 8.39</v>
      </c>
      <c r="F356" s="25">
        <v>26.78688</v>
      </c>
      <c r="G356" s="6">
        <v>207</v>
      </c>
      <c r="H356" s="6">
        <v>134</v>
      </c>
      <c r="I356" s="6">
        <v>5.85</v>
      </c>
      <c r="J356" s="6">
        <v>8.39</v>
      </c>
      <c r="K356" s="6"/>
      <c r="L356" s="6">
        <v>3393.5415999999996</v>
      </c>
      <c r="N356" s="5" t="str">
        <f t="shared" si="34"/>
        <v>H - 207 x 134 x 6 x 10</v>
      </c>
      <c r="O356" s="25">
        <f t="shared" si="35"/>
        <v>29.845700000000001</v>
      </c>
      <c r="P356" s="6">
        <f t="shared" si="36"/>
        <v>207</v>
      </c>
      <c r="Q356" s="6">
        <f t="shared" si="36"/>
        <v>134</v>
      </c>
      <c r="R356" s="6" cm="1">
        <f t="array" ref="R356">IF(I356-LOOKUP(I356, $Y$4:$Y$26) &lt;= 0.1, LOOKUP(I356, $Y$4:$Y$26), MIN(_xlfn._xlws.FILTER($Y$4:$Y$26, $Y$4:$Y$26&gt;=I356)))</f>
        <v>6</v>
      </c>
      <c r="S356" s="6" cm="1">
        <f t="array" ref="S356">IF(J356-LOOKUP(J356, $Y$4:$Y$26) &lt;= 0.1, LOOKUP(J356, $Y$4:$Y$26), MIN(_xlfn._xlws.FILTER($Y$4:$Y$26, $Y$4:$Y$26&gt;=J356)))</f>
        <v>10</v>
      </c>
    </row>
    <row r="357" spans="1:19" x14ac:dyDescent="0.25">
      <c r="A357" t="s">
        <v>513</v>
      </c>
      <c r="B357" s="11">
        <f t="shared" si="31"/>
        <v>22</v>
      </c>
      <c r="C357" s="11" t="str">
        <f t="shared" si="32"/>
        <v>I W8X22</v>
      </c>
      <c r="D357" s="5" t="s">
        <v>437</v>
      </c>
      <c r="E357" s="5" t="str">
        <f t="shared" si="33"/>
        <v>I - 206 x 103 x 6.23 x 8.01</v>
      </c>
      <c r="F357" s="25">
        <v>22.322399999999998</v>
      </c>
      <c r="G357" s="6">
        <v>206</v>
      </c>
      <c r="H357" s="6">
        <v>103</v>
      </c>
      <c r="I357" s="6">
        <v>6.2299999999999995</v>
      </c>
      <c r="J357" s="6">
        <v>8.01</v>
      </c>
      <c r="K357" s="6"/>
      <c r="L357" s="6">
        <v>2864.5104000000006</v>
      </c>
      <c r="N357" s="5" t="str">
        <f t="shared" si="34"/>
        <v>I - 206 x 103 x 8 x 8</v>
      </c>
      <c r="O357" s="25">
        <f t="shared" si="35"/>
        <v>24.8688</v>
      </c>
      <c r="P357" s="6">
        <f t="shared" si="36"/>
        <v>206</v>
      </c>
      <c r="Q357" s="6">
        <f t="shared" si="36"/>
        <v>103</v>
      </c>
      <c r="R357" s="6" cm="1">
        <f t="array" ref="R357">IF(I357-LOOKUP(I357, $Y$4:$Y$26) &lt;= 0.1, LOOKUP(I357, $Y$4:$Y$26), MIN(_xlfn._xlws.FILTER($Y$4:$Y$26, $Y$4:$Y$26&gt;=I357)))</f>
        <v>8</v>
      </c>
      <c r="S357" s="6" cm="1">
        <f t="array" ref="S357">IF(J357-LOOKUP(J357, $Y$4:$Y$26) &lt;= 0.1, LOOKUP(J357, $Y$4:$Y$26), MIN(_xlfn._xlws.FILTER($Y$4:$Y$26, $Y$4:$Y$26&gt;=J357)))</f>
        <v>8</v>
      </c>
    </row>
    <row r="358" spans="1:19" x14ac:dyDescent="0.25">
      <c r="A358" t="s">
        <v>513</v>
      </c>
      <c r="B358" s="11">
        <f t="shared" si="31"/>
        <v>19</v>
      </c>
      <c r="C358" s="11" t="str">
        <f t="shared" si="32"/>
        <v>I W8X19</v>
      </c>
      <c r="D358" s="5" t="s">
        <v>438</v>
      </c>
      <c r="E358" s="5" t="str">
        <f t="shared" si="33"/>
        <v>H - 203 x 102 x 5.85 x 6.48</v>
      </c>
      <c r="F358" s="25">
        <v>19.346080000000001</v>
      </c>
      <c r="G358" s="6">
        <v>203</v>
      </c>
      <c r="H358" s="6">
        <v>102</v>
      </c>
      <c r="I358" s="6">
        <v>5.85</v>
      </c>
      <c r="J358" s="6">
        <v>6.4799999999999995</v>
      </c>
      <c r="K358" s="6"/>
      <c r="L358" s="6">
        <v>2477.4144000000001</v>
      </c>
      <c r="N358" s="5" t="str">
        <f t="shared" si="34"/>
        <v>H - 203 x 102 x 6 x 8</v>
      </c>
      <c r="O358" s="25">
        <f t="shared" si="35"/>
        <v>21.6189</v>
      </c>
      <c r="P358" s="6">
        <f t="shared" si="36"/>
        <v>203</v>
      </c>
      <c r="Q358" s="6">
        <f t="shared" si="36"/>
        <v>102</v>
      </c>
      <c r="R358" s="6" cm="1">
        <f t="array" ref="R358">IF(I358-LOOKUP(I358, $Y$4:$Y$26) &lt;= 0.1, LOOKUP(I358, $Y$4:$Y$26), MIN(_xlfn._xlws.FILTER($Y$4:$Y$26, $Y$4:$Y$26&gt;=I358)))</f>
        <v>6</v>
      </c>
      <c r="S358" s="6" cm="1">
        <f t="array" ref="S358">IF(J358-LOOKUP(J358, $Y$4:$Y$26) &lt;= 0.1, LOOKUP(J358, $Y$4:$Y$26), MIN(_xlfn._xlws.FILTER($Y$4:$Y$26, $Y$4:$Y$26&gt;=J358)))</f>
        <v>8</v>
      </c>
    </row>
    <row r="359" spans="1:19" x14ac:dyDescent="0.25">
      <c r="A359" t="s">
        <v>513</v>
      </c>
      <c r="B359" s="11">
        <f t="shared" si="31"/>
        <v>15</v>
      </c>
      <c r="C359" s="11" t="str">
        <f t="shared" si="32"/>
        <v>I W8X15</v>
      </c>
      <c r="D359" s="5" t="s">
        <v>439</v>
      </c>
      <c r="E359" s="5" t="str">
        <f t="shared" si="33"/>
        <v>H - 201 x 101 x 4.32 x 5.21</v>
      </c>
      <c r="F359" s="25">
        <v>14.881599999999999</v>
      </c>
      <c r="G359" s="6">
        <v>201</v>
      </c>
      <c r="H359" s="6">
        <v>101</v>
      </c>
      <c r="I359" s="6">
        <v>4.3199999999999994</v>
      </c>
      <c r="J359" s="6">
        <v>5.21</v>
      </c>
      <c r="K359" s="6"/>
      <c r="L359" s="6">
        <v>1909.6735999999999</v>
      </c>
      <c r="N359" s="5" t="str">
        <f t="shared" si="34"/>
        <v>H - 201 x 101 x 6 x 6</v>
      </c>
      <c r="O359" s="25">
        <f t="shared" si="35"/>
        <v>18.4161</v>
      </c>
      <c r="P359" s="6">
        <f t="shared" si="36"/>
        <v>201</v>
      </c>
      <c r="Q359" s="6">
        <f t="shared" si="36"/>
        <v>101</v>
      </c>
      <c r="R359" s="6" cm="1">
        <f t="array" ref="R359">IF(I359-LOOKUP(I359, $Y$4:$Y$26) &lt;= 0.1, LOOKUP(I359, $Y$4:$Y$26), MIN(_xlfn._xlws.FILTER($Y$4:$Y$26, $Y$4:$Y$26&gt;=I359)))</f>
        <v>6</v>
      </c>
      <c r="S359" s="6" cm="1">
        <f t="array" ref="S359">IF(J359-LOOKUP(J359, $Y$4:$Y$26) &lt;= 0.1, LOOKUP(J359, $Y$4:$Y$26), MIN(_xlfn._xlws.FILTER($Y$4:$Y$26, $Y$4:$Y$26&gt;=J359)))</f>
        <v>6</v>
      </c>
    </row>
    <row r="360" spans="1:19" x14ac:dyDescent="0.25">
      <c r="A360" t="s">
        <v>514</v>
      </c>
      <c r="B360" s="11">
        <f t="shared" si="31"/>
        <v>37</v>
      </c>
      <c r="C360" s="11" t="str">
        <f t="shared" si="32"/>
        <v>I W6X37</v>
      </c>
      <c r="D360" s="5" t="s">
        <v>440</v>
      </c>
      <c r="E360" s="5" t="str">
        <f t="shared" si="33"/>
        <v>H - 163 x 155 x 8.13 x 11.56</v>
      </c>
      <c r="F360" s="25">
        <v>37.204000000000001</v>
      </c>
      <c r="G360" s="6">
        <v>163</v>
      </c>
      <c r="H360" s="6">
        <v>155</v>
      </c>
      <c r="I360" s="6">
        <v>8.129999999999999</v>
      </c>
      <c r="J360" s="6">
        <v>11.56</v>
      </c>
      <c r="K360" s="6"/>
      <c r="L360" s="6">
        <v>4735.4744000000001</v>
      </c>
      <c r="N360" s="5" t="str">
        <f t="shared" si="34"/>
        <v>H - 163 x 155 x 10 x 12</v>
      </c>
      <c r="O360" s="25">
        <f t="shared" si="35"/>
        <v>40.113500000000002</v>
      </c>
      <c r="P360" s="6">
        <f t="shared" si="36"/>
        <v>163</v>
      </c>
      <c r="Q360" s="6">
        <f t="shared" si="36"/>
        <v>155</v>
      </c>
      <c r="R360" s="6" cm="1">
        <f t="array" ref="R360">IF(I360-LOOKUP(I360, $Y$4:$Y$26) &lt;= 0.1, LOOKUP(I360, $Y$4:$Y$26), MIN(_xlfn._xlws.FILTER($Y$4:$Y$26, $Y$4:$Y$26&gt;=I360)))</f>
        <v>10</v>
      </c>
      <c r="S360" s="6" cm="1">
        <f t="array" ref="S360">IF(J360-LOOKUP(J360, $Y$4:$Y$26) &lt;= 0.1, LOOKUP(J360, $Y$4:$Y$26), MIN(_xlfn._xlws.FILTER($Y$4:$Y$26, $Y$4:$Y$26&gt;=J360)))</f>
        <v>12</v>
      </c>
    </row>
    <row r="361" spans="1:19" x14ac:dyDescent="0.25">
      <c r="A361" t="s">
        <v>514</v>
      </c>
      <c r="B361" s="11">
        <f t="shared" si="31"/>
        <v>30</v>
      </c>
      <c r="C361" s="11" t="str">
        <f t="shared" si="32"/>
        <v>I W6X30</v>
      </c>
      <c r="D361" s="5" t="s">
        <v>441</v>
      </c>
      <c r="E361" s="5" t="str">
        <f t="shared" si="33"/>
        <v>H - 158 x 153 x 6.61 x 9.28</v>
      </c>
      <c r="F361" s="25">
        <v>29.763199999999998</v>
      </c>
      <c r="G361" s="6">
        <v>158</v>
      </c>
      <c r="H361" s="6">
        <v>153</v>
      </c>
      <c r="I361" s="6">
        <v>6.6099999999999994</v>
      </c>
      <c r="J361" s="6">
        <v>9.2799999999999994</v>
      </c>
      <c r="K361" s="6"/>
      <c r="L361" s="6">
        <v>3787.0891999999999</v>
      </c>
      <c r="N361" s="5" t="str">
        <f t="shared" si="34"/>
        <v>H - 158 x 153 x 8 x 10</v>
      </c>
      <c r="O361" s="25">
        <f t="shared" si="35"/>
        <v>32.687399999999997</v>
      </c>
      <c r="P361" s="6">
        <f t="shared" si="36"/>
        <v>158</v>
      </c>
      <c r="Q361" s="6">
        <f t="shared" si="36"/>
        <v>153</v>
      </c>
      <c r="R361" s="6" cm="1">
        <f t="array" ref="R361">IF(I361-LOOKUP(I361, $Y$4:$Y$26) &lt;= 0.1, LOOKUP(I361, $Y$4:$Y$26), MIN(_xlfn._xlws.FILTER($Y$4:$Y$26, $Y$4:$Y$26&gt;=I361)))</f>
        <v>8</v>
      </c>
      <c r="S361" s="6" cm="1">
        <f t="array" ref="S361">IF(J361-LOOKUP(J361, $Y$4:$Y$26) &lt;= 0.1, LOOKUP(J361, $Y$4:$Y$26), MIN(_xlfn._xlws.FILTER($Y$4:$Y$26, $Y$4:$Y$26&gt;=J361)))</f>
        <v>10</v>
      </c>
    </row>
    <row r="362" spans="1:19" x14ac:dyDescent="0.25">
      <c r="A362" t="s">
        <v>514</v>
      </c>
      <c r="B362" s="11">
        <f t="shared" si="31"/>
        <v>22</v>
      </c>
      <c r="C362" s="11" t="str">
        <f t="shared" si="32"/>
        <v>I W6X22</v>
      </c>
      <c r="D362" s="5" t="s">
        <v>442</v>
      </c>
      <c r="E362" s="5" t="str">
        <f t="shared" si="33"/>
        <v>H - 153 x 153 x 5.85 x 6.61</v>
      </c>
      <c r="F362" s="25">
        <v>22.322399999999998</v>
      </c>
      <c r="G362" s="6">
        <v>153</v>
      </c>
      <c r="H362" s="6">
        <v>153</v>
      </c>
      <c r="I362" s="6">
        <v>5.85</v>
      </c>
      <c r="J362" s="6">
        <v>6.6099999999999994</v>
      </c>
      <c r="K362" s="6"/>
      <c r="L362" s="6">
        <v>2858.0587999999993</v>
      </c>
      <c r="N362" s="5" t="str">
        <f t="shared" si="34"/>
        <v>H - 153 x 153 x 6 x 8</v>
      </c>
      <c r="O362" s="25">
        <f t="shared" si="35"/>
        <v>25.669499999999999</v>
      </c>
      <c r="P362" s="6">
        <f t="shared" si="36"/>
        <v>153</v>
      </c>
      <c r="Q362" s="6">
        <f t="shared" si="36"/>
        <v>153</v>
      </c>
      <c r="R362" s="6" cm="1">
        <f t="array" ref="R362">IF(I362-LOOKUP(I362, $Y$4:$Y$26) &lt;= 0.1, LOOKUP(I362, $Y$4:$Y$26), MIN(_xlfn._xlws.FILTER($Y$4:$Y$26, $Y$4:$Y$26&gt;=I362)))</f>
        <v>6</v>
      </c>
      <c r="S362" s="6" cm="1">
        <f t="array" ref="S362">IF(J362-LOOKUP(J362, $Y$4:$Y$26) &lt;= 0.1, LOOKUP(J362, $Y$4:$Y$26), MIN(_xlfn._xlws.FILTER($Y$4:$Y$26, $Y$4:$Y$26&gt;=J362)))</f>
        <v>8</v>
      </c>
    </row>
    <row r="363" spans="1:19" x14ac:dyDescent="0.25">
      <c r="A363" t="s">
        <v>514</v>
      </c>
      <c r="B363" s="11">
        <f t="shared" si="31"/>
        <v>24</v>
      </c>
      <c r="C363" s="11" t="str">
        <f t="shared" si="32"/>
        <v>I W6X24</v>
      </c>
      <c r="D363" s="5" t="s">
        <v>443</v>
      </c>
      <c r="E363" s="5" t="str">
        <f t="shared" si="33"/>
        <v>H - 160 x 103 x 6.61 x 10.29</v>
      </c>
      <c r="F363" s="25">
        <v>23.810559999999999</v>
      </c>
      <c r="G363" s="6">
        <v>160</v>
      </c>
      <c r="H363" s="6">
        <v>103</v>
      </c>
      <c r="I363" s="6">
        <v>6.6099999999999994</v>
      </c>
      <c r="J363" s="6">
        <v>10.29</v>
      </c>
      <c r="K363" s="6"/>
      <c r="L363" s="6">
        <v>3058.0583999999999</v>
      </c>
      <c r="N363" s="5" t="str">
        <f t="shared" si="34"/>
        <v>H - 160 x 103 x 8 x 12</v>
      </c>
      <c r="O363" s="25">
        <f t="shared" si="35"/>
        <v>27.946000000000002</v>
      </c>
      <c r="P363" s="6">
        <f t="shared" si="36"/>
        <v>160</v>
      </c>
      <c r="Q363" s="6">
        <f t="shared" si="36"/>
        <v>103</v>
      </c>
      <c r="R363" s="6" cm="1">
        <f t="array" ref="R363">IF(I363-LOOKUP(I363, $Y$4:$Y$26) &lt;= 0.1, LOOKUP(I363, $Y$4:$Y$26), MIN(_xlfn._xlws.FILTER($Y$4:$Y$26, $Y$4:$Y$26&gt;=I363)))</f>
        <v>8</v>
      </c>
      <c r="S363" s="6" cm="1">
        <f t="array" ref="S363">IF(J363-LOOKUP(J363, $Y$4:$Y$26) &lt;= 0.1, LOOKUP(J363, $Y$4:$Y$26), MIN(_xlfn._xlws.FILTER($Y$4:$Y$26, $Y$4:$Y$26&gt;=J363)))</f>
        <v>12</v>
      </c>
    </row>
    <row r="364" spans="1:19" x14ac:dyDescent="0.25">
      <c r="A364" t="s">
        <v>514</v>
      </c>
      <c r="B364" s="11">
        <f t="shared" si="31"/>
        <v>18</v>
      </c>
      <c r="C364" s="11" t="str">
        <f t="shared" si="32"/>
        <v>I W6X18</v>
      </c>
      <c r="D364" s="5" t="s">
        <v>444</v>
      </c>
      <c r="E364" s="5" t="str">
        <f t="shared" si="33"/>
        <v>H - 154 x 102 x 5.85 x 7.12</v>
      </c>
      <c r="F364" s="25">
        <v>17.85792</v>
      </c>
      <c r="G364" s="6">
        <v>154</v>
      </c>
      <c r="H364" s="6">
        <v>102</v>
      </c>
      <c r="I364" s="6">
        <v>5.85</v>
      </c>
      <c r="J364" s="6">
        <v>7.12</v>
      </c>
      <c r="K364" s="6"/>
      <c r="L364" s="6">
        <v>2290.3179999999998</v>
      </c>
      <c r="N364" s="5" t="str">
        <f t="shared" si="34"/>
        <v>H - 154 x 102 x 6 x 8</v>
      </c>
      <c r="O364" s="25">
        <f t="shared" si="35"/>
        <v>19.311</v>
      </c>
      <c r="P364" s="6">
        <f t="shared" si="36"/>
        <v>154</v>
      </c>
      <c r="Q364" s="6">
        <f t="shared" si="36"/>
        <v>102</v>
      </c>
      <c r="R364" s="6" cm="1">
        <f t="array" ref="R364">IF(I364-LOOKUP(I364, $Y$4:$Y$26) &lt;= 0.1, LOOKUP(I364, $Y$4:$Y$26), MIN(_xlfn._xlws.FILTER($Y$4:$Y$26, $Y$4:$Y$26&gt;=I364)))</f>
        <v>6</v>
      </c>
      <c r="S364" s="6" cm="1">
        <f t="array" ref="S364">IF(J364-LOOKUP(J364, $Y$4:$Y$26) &lt;= 0.1, LOOKUP(J364, $Y$4:$Y$26), MIN(_xlfn._xlws.FILTER($Y$4:$Y$26, $Y$4:$Y$26&gt;=J364)))</f>
        <v>8</v>
      </c>
    </row>
    <row r="365" spans="1:19" x14ac:dyDescent="0.25">
      <c r="A365" t="s">
        <v>514</v>
      </c>
      <c r="B365" s="11">
        <f t="shared" si="31"/>
        <v>13</v>
      </c>
      <c r="C365" s="11" t="str">
        <f t="shared" si="32"/>
        <v>I W6X13</v>
      </c>
      <c r="D365" s="5" t="s">
        <v>445</v>
      </c>
      <c r="E365" s="5" t="str">
        <f t="shared" si="33"/>
        <v>H - 150 x 101 x 4.32 x 5.47</v>
      </c>
      <c r="F365" s="25">
        <v>13.39344</v>
      </c>
      <c r="G365" s="6">
        <v>150</v>
      </c>
      <c r="H365" s="6">
        <v>101</v>
      </c>
      <c r="I365" s="6">
        <v>4.3199999999999994</v>
      </c>
      <c r="J365" s="6">
        <v>5.47</v>
      </c>
      <c r="K365" s="6"/>
      <c r="L365" s="6">
        <v>1729.0288</v>
      </c>
      <c r="N365" s="5" t="str">
        <f t="shared" si="34"/>
        <v>H - 150 x 101 x 6 x 6</v>
      </c>
      <c r="O365" s="25">
        <f t="shared" si="35"/>
        <v>16.013999999999999</v>
      </c>
      <c r="P365" s="6">
        <f t="shared" si="36"/>
        <v>150</v>
      </c>
      <c r="Q365" s="6">
        <f t="shared" si="36"/>
        <v>101</v>
      </c>
      <c r="R365" s="6" cm="1">
        <f t="array" ref="R365">IF(I365-LOOKUP(I365, $Y$4:$Y$26) &lt;= 0.1, LOOKUP(I365, $Y$4:$Y$26), MIN(_xlfn._xlws.FILTER($Y$4:$Y$26, $Y$4:$Y$26&gt;=I365)))</f>
        <v>6</v>
      </c>
      <c r="S365" s="6" cm="1">
        <f t="array" ref="S365">IF(J365-LOOKUP(J365, $Y$4:$Y$26) &lt;= 0.1, LOOKUP(J365, $Y$4:$Y$26), MIN(_xlfn._xlws.FILTER($Y$4:$Y$26, $Y$4:$Y$26&gt;=J365)))</f>
        <v>6</v>
      </c>
    </row>
    <row r="366" spans="1:19" x14ac:dyDescent="0.25">
      <c r="A366" t="s">
        <v>514</v>
      </c>
      <c r="B366" s="11">
        <f t="shared" si="31"/>
        <v>13</v>
      </c>
      <c r="C366" s="11" t="str">
        <f t="shared" si="32"/>
        <v>I W6X13</v>
      </c>
      <c r="D366" s="5" t="s">
        <v>446</v>
      </c>
      <c r="E366" s="5" t="str">
        <f t="shared" si="33"/>
        <v>H - 149 x 101 x 4.32 x 4.96</v>
      </c>
      <c r="F366" s="25">
        <v>12.64936</v>
      </c>
      <c r="G366" s="6">
        <v>149</v>
      </c>
      <c r="H366" s="6">
        <v>101</v>
      </c>
      <c r="I366" s="6">
        <v>4.3199999999999994</v>
      </c>
      <c r="J366" s="6">
        <v>4.96</v>
      </c>
      <c r="K366" s="6"/>
      <c r="L366" s="6">
        <v>1625.8032000000001</v>
      </c>
      <c r="N366" s="5" t="str">
        <f t="shared" si="34"/>
        <v>H - 149 x 101 x 6 x 6</v>
      </c>
      <c r="O366" s="25">
        <f t="shared" si="35"/>
        <v>15.966900000000001</v>
      </c>
      <c r="P366" s="6">
        <f t="shared" si="36"/>
        <v>149</v>
      </c>
      <c r="Q366" s="6">
        <f t="shared" si="36"/>
        <v>101</v>
      </c>
      <c r="R366" s="6" cm="1">
        <f t="array" ref="R366">IF(I366-LOOKUP(I366, $Y$4:$Y$26) &lt;= 0.1, LOOKUP(I366, $Y$4:$Y$26), MIN(_xlfn._xlws.FILTER($Y$4:$Y$26, $Y$4:$Y$26&gt;=I366)))</f>
        <v>6</v>
      </c>
      <c r="S366" s="6" cm="1">
        <f t="array" ref="S366">IF(J366-LOOKUP(J366, $Y$4:$Y$26) &lt;= 0.1, LOOKUP(J366, $Y$4:$Y$26), MIN(_xlfn._xlws.FILTER($Y$4:$Y$26, $Y$4:$Y$26&gt;=J366)))</f>
        <v>6</v>
      </c>
    </row>
    <row r="367" spans="1:19" x14ac:dyDescent="0.25">
      <c r="A367" t="s">
        <v>515</v>
      </c>
      <c r="B367" s="11">
        <f t="shared" si="31"/>
        <v>28</v>
      </c>
      <c r="C367" s="11" t="str">
        <f t="shared" si="32"/>
        <v>I W5X28</v>
      </c>
      <c r="D367" s="5" t="s">
        <v>447</v>
      </c>
      <c r="E367" s="5" t="str">
        <f t="shared" si="33"/>
        <v>H - 131 x 128 x 6.86 x 10.93</v>
      </c>
      <c r="F367" s="25">
        <v>28.275039999999997</v>
      </c>
      <c r="G367" s="6">
        <v>131</v>
      </c>
      <c r="H367" s="6">
        <v>128</v>
      </c>
      <c r="I367" s="6">
        <v>6.8599999999999994</v>
      </c>
      <c r="J367" s="6">
        <v>10.93</v>
      </c>
      <c r="K367" s="6"/>
      <c r="L367" s="6">
        <v>3587.0895999999998</v>
      </c>
      <c r="N367" s="5" t="str">
        <f t="shared" si="34"/>
        <v>H - 131 x 128 x 8 x 12</v>
      </c>
      <c r="O367" s="25">
        <f t="shared" si="35"/>
        <v>30.834800000000001</v>
      </c>
      <c r="P367" s="6">
        <f t="shared" si="36"/>
        <v>131</v>
      </c>
      <c r="Q367" s="6">
        <f t="shared" si="36"/>
        <v>128</v>
      </c>
      <c r="R367" s="6" cm="1">
        <f t="array" ref="R367">IF(I367-LOOKUP(I367, $Y$4:$Y$26) &lt;= 0.1, LOOKUP(I367, $Y$4:$Y$26), MIN(_xlfn._xlws.FILTER($Y$4:$Y$26, $Y$4:$Y$26&gt;=I367)))</f>
        <v>8</v>
      </c>
      <c r="S367" s="6" cm="1">
        <f t="array" ref="S367">IF(J367-LOOKUP(J367, $Y$4:$Y$26) &lt;= 0.1, LOOKUP(J367, $Y$4:$Y$26), MIN(_xlfn._xlws.FILTER($Y$4:$Y$26, $Y$4:$Y$26&gt;=J367)))</f>
        <v>12</v>
      </c>
    </row>
    <row r="368" spans="1:19" x14ac:dyDescent="0.25">
      <c r="A368" t="s">
        <v>515</v>
      </c>
      <c r="B368" s="11">
        <f t="shared" si="31"/>
        <v>24</v>
      </c>
      <c r="C368" s="11" t="str">
        <f t="shared" si="32"/>
        <v>I W5X24</v>
      </c>
      <c r="D368" s="5" t="s">
        <v>448</v>
      </c>
      <c r="E368" s="5" t="str">
        <f t="shared" si="33"/>
        <v>H - 128 x 127 x 6.1 x 9.15</v>
      </c>
      <c r="F368" s="25">
        <v>23.810559999999999</v>
      </c>
      <c r="G368" s="6">
        <v>128</v>
      </c>
      <c r="H368" s="6">
        <v>127</v>
      </c>
      <c r="I368" s="6">
        <v>6.1</v>
      </c>
      <c r="J368" s="6">
        <v>9.15</v>
      </c>
      <c r="K368" s="6"/>
      <c r="L368" s="6">
        <v>3038.7035999999998</v>
      </c>
      <c r="N368" s="5" t="str">
        <f t="shared" si="34"/>
        <v>H - 128 x 127 x 6 x 10</v>
      </c>
      <c r="O368" s="25">
        <f t="shared" si="35"/>
        <v>25.0258</v>
      </c>
      <c r="P368" s="6">
        <f t="shared" si="36"/>
        <v>128</v>
      </c>
      <c r="Q368" s="6">
        <f t="shared" si="36"/>
        <v>127</v>
      </c>
      <c r="R368" s="6" cm="1">
        <f t="array" ref="R368">IF(I368-LOOKUP(I368, $Y$4:$Y$26) &lt;= 0.1, LOOKUP(I368, $Y$4:$Y$26), MIN(_xlfn._xlws.FILTER($Y$4:$Y$26, $Y$4:$Y$26&gt;=I368)))</f>
        <v>6</v>
      </c>
      <c r="S368" s="6" cm="1">
        <f t="array" ref="S368">IF(J368-LOOKUP(J368, $Y$4:$Y$26) &lt;= 0.1, LOOKUP(J368, $Y$4:$Y$26), MIN(_xlfn._xlws.FILTER($Y$4:$Y$26, $Y$4:$Y$26&gt;=J368)))</f>
        <v>10</v>
      </c>
    </row>
    <row r="369" spans="1:19" x14ac:dyDescent="0.25">
      <c r="A369" t="s">
        <v>516</v>
      </c>
      <c r="B369" s="11">
        <f t="shared" si="31"/>
        <v>19</v>
      </c>
      <c r="C369" s="11" t="str">
        <f t="shared" si="32"/>
        <v>I W4X19</v>
      </c>
      <c r="D369" s="5" t="s">
        <v>449</v>
      </c>
      <c r="E369" s="5" t="str">
        <f t="shared" si="33"/>
        <v>H - 106 x 104 x 7.12 x 8.77</v>
      </c>
      <c r="F369" s="25">
        <v>19.346080000000001</v>
      </c>
      <c r="G369" s="6">
        <v>106</v>
      </c>
      <c r="H369" s="6">
        <v>104</v>
      </c>
      <c r="I369" s="6">
        <v>7.12</v>
      </c>
      <c r="J369" s="6">
        <v>8.77</v>
      </c>
      <c r="K369" s="6"/>
      <c r="L369" s="6">
        <v>2470.9627999999998</v>
      </c>
      <c r="N369" s="5" t="str">
        <f t="shared" si="34"/>
        <v>H - 106 x 104 x 8 x 10</v>
      </c>
      <c r="O369" s="25">
        <f t="shared" si="35"/>
        <v>21.7288</v>
      </c>
      <c r="P369" s="6">
        <f t="shared" si="36"/>
        <v>106</v>
      </c>
      <c r="Q369" s="6">
        <f t="shared" si="36"/>
        <v>104</v>
      </c>
      <c r="R369" s="6" cm="1">
        <f t="array" ref="R369">IF(I369-LOOKUP(I369, $Y$4:$Y$26) &lt;= 0.1, LOOKUP(I369, $Y$4:$Y$26), MIN(_xlfn._xlws.FILTER($Y$4:$Y$26, $Y$4:$Y$26&gt;=I369)))</f>
        <v>8</v>
      </c>
      <c r="S369" s="6" cm="1">
        <f t="array" ref="S369">IF(J369-LOOKUP(J369, $Y$4:$Y$26) &lt;= 0.1, LOOKUP(J369, $Y$4:$Y$26), MIN(_xlfn._xlws.FILTER($Y$4:$Y$26, $Y$4:$Y$26&gt;=J369)))</f>
        <v>10</v>
      </c>
    </row>
    <row r="370" spans="1:19" x14ac:dyDescent="0.25">
      <c r="A370" t="s">
        <v>450</v>
      </c>
      <c r="B370" s="11">
        <f t="shared" si="31"/>
        <v>17</v>
      </c>
      <c r="C370" s="11" t="str">
        <f t="shared" si="32"/>
        <v>I HEA 100X17</v>
      </c>
      <c r="D370" s="5" t="s">
        <v>450</v>
      </c>
      <c r="E370" s="5" t="str">
        <f t="shared" si="33"/>
        <v>H - 96 x 100 x 5 x 8</v>
      </c>
      <c r="F370" s="25">
        <v>16.7</v>
      </c>
      <c r="G370" s="6">
        <v>96</v>
      </c>
      <c r="H370" s="6">
        <v>100</v>
      </c>
      <c r="I370" s="6">
        <v>5</v>
      </c>
      <c r="J370" s="6">
        <v>8</v>
      </c>
      <c r="K370" s="6">
        <v>12</v>
      </c>
      <c r="L370" s="6">
        <v>2120</v>
      </c>
      <c r="N370" s="5" t="str">
        <f t="shared" si="34"/>
        <v>H - 96 x 100 x 6 x 8</v>
      </c>
      <c r="O370" s="25">
        <f t="shared" si="35"/>
        <v>16.327999999999999</v>
      </c>
      <c r="P370" s="6">
        <f t="shared" si="36"/>
        <v>96</v>
      </c>
      <c r="Q370" s="6">
        <f t="shared" si="36"/>
        <v>100</v>
      </c>
      <c r="R370" s="6" cm="1">
        <f t="array" ref="R370">IF(I370-LOOKUP(I370, $Y$4:$Y$26) &lt;= 0.1, LOOKUP(I370, $Y$4:$Y$26), MIN(_xlfn._xlws.FILTER($Y$4:$Y$26, $Y$4:$Y$26&gt;=I370)))</f>
        <v>6</v>
      </c>
      <c r="S370" s="6" cm="1">
        <f t="array" ref="S370">IF(J370-LOOKUP(J370, $Y$4:$Y$26) &lt;= 0.1, LOOKUP(J370, $Y$4:$Y$26), MIN(_xlfn._xlws.FILTER($Y$4:$Y$26, $Y$4:$Y$26&gt;=J370)))</f>
        <v>8</v>
      </c>
    </row>
    <row r="371" spans="1:19" x14ac:dyDescent="0.25">
      <c r="A371" t="s">
        <v>451</v>
      </c>
      <c r="B371" s="11">
        <f t="shared" si="31"/>
        <v>20</v>
      </c>
      <c r="C371" s="11" t="str">
        <f t="shared" si="32"/>
        <v>I HEA 120X20</v>
      </c>
      <c r="D371" s="5" t="s">
        <v>451</v>
      </c>
      <c r="E371" s="5" t="str">
        <f t="shared" si="33"/>
        <v>H - 114 x 120 x 5 x 8</v>
      </c>
      <c r="F371" s="25">
        <v>19.899999999999999</v>
      </c>
      <c r="G371" s="6">
        <v>114</v>
      </c>
      <c r="H371" s="6">
        <v>120</v>
      </c>
      <c r="I371" s="6">
        <v>5</v>
      </c>
      <c r="J371" s="6">
        <v>8</v>
      </c>
      <c r="K371" s="6">
        <v>12</v>
      </c>
      <c r="L371" s="6">
        <v>2530</v>
      </c>
      <c r="N371" s="5" t="str">
        <f t="shared" si="34"/>
        <v>H - 114 x 120 x 6 x 8</v>
      </c>
      <c r="O371" s="25">
        <f t="shared" si="35"/>
        <v>19.687799999999999</v>
      </c>
      <c r="P371" s="6">
        <f t="shared" si="36"/>
        <v>114</v>
      </c>
      <c r="Q371" s="6">
        <f t="shared" si="36"/>
        <v>120</v>
      </c>
      <c r="R371" s="6" cm="1">
        <f t="array" ref="R371">IF(I371-LOOKUP(I371, $Y$4:$Y$26) &lt;= 0.1, LOOKUP(I371, $Y$4:$Y$26), MIN(_xlfn._xlws.FILTER($Y$4:$Y$26, $Y$4:$Y$26&gt;=I371)))</f>
        <v>6</v>
      </c>
      <c r="S371" s="6" cm="1">
        <f t="array" ref="S371">IF(J371-LOOKUP(J371, $Y$4:$Y$26) &lt;= 0.1, LOOKUP(J371, $Y$4:$Y$26), MIN(_xlfn._xlws.FILTER($Y$4:$Y$26, $Y$4:$Y$26&gt;=J371)))</f>
        <v>8</v>
      </c>
    </row>
    <row r="372" spans="1:19" x14ac:dyDescent="0.25">
      <c r="A372" t="s">
        <v>452</v>
      </c>
      <c r="B372" s="11">
        <f t="shared" si="31"/>
        <v>25</v>
      </c>
      <c r="C372" s="11" t="str">
        <f t="shared" si="32"/>
        <v>I HEA 140X25</v>
      </c>
      <c r="D372" s="5" t="s">
        <v>452</v>
      </c>
      <c r="E372" s="5" t="str">
        <f t="shared" si="33"/>
        <v>H - 133 x 140 x 5.5 x 8.5</v>
      </c>
      <c r="F372" s="25">
        <v>24.7</v>
      </c>
      <c r="G372" s="6">
        <v>133</v>
      </c>
      <c r="H372" s="6">
        <v>140</v>
      </c>
      <c r="I372" s="6">
        <v>5.5</v>
      </c>
      <c r="J372" s="6">
        <v>8.5</v>
      </c>
      <c r="K372" s="6">
        <v>12</v>
      </c>
      <c r="L372" s="6">
        <v>3140</v>
      </c>
      <c r="N372" s="5" t="str">
        <f t="shared" si="34"/>
        <v>H - 133 x 140 x 6 x 10</v>
      </c>
      <c r="O372" s="25">
        <f t="shared" si="35"/>
        <v>27.302299999999999</v>
      </c>
      <c r="P372" s="6">
        <f t="shared" si="36"/>
        <v>133</v>
      </c>
      <c r="Q372" s="6">
        <f t="shared" si="36"/>
        <v>140</v>
      </c>
      <c r="R372" s="6" cm="1">
        <f t="array" ref="R372">IF(I372-LOOKUP(I372, $Y$4:$Y$26) &lt;= 0.1, LOOKUP(I372, $Y$4:$Y$26), MIN(_xlfn._xlws.FILTER($Y$4:$Y$26, $Y$4:$Y$26&gt;=I372)))</f>
        <v>6</v>
      </c>
      <c r="S372" s="6" cm="1">
        <f t="array" ref="S372">IF(J372-LOOKUP(J372, $Y$4:$Y$26) &lt;= 0.1, LOOKUP(J372, $Y$4:$Y$26), MIN(_xlfn._xlws.FILTER($Y$4:$Y$26, $Y$4:$Y$26&gt;=J372)))</f>
        <v>10</v>
      </c>
    </row>
    <row r="373" spans="1:19" x14ac:dyDescent="0.25">
      <c r="A373" t="s">
        <v>453</v>
      </c>
      <c r="B373" s="11">
        <f t="shared" si="31"/>
        <v>30</v>
      </c>
      <c r="C373" s="11" t="str">
        <f t="shared" si="32"/>
        <v>I HEA 160X30</v>
      </c>
      <c r="D373" s="5" t="s">
        <v>453</v>
      </c>
      <c r="E373" s="5" t="str">
        <f t="shared" si="33"/>
        <v>H - 152 x 160 x 6 x 9</v>
      </c>
      <c r="F373" s="25">
        <v>30.4</v>
      </c>
      <c r="G373" s="6">
        <v>152</v>
      </c>
      <c r="H373" s="6">
        <v>160</v>
      </c>
      <c r="I373" s="6">
        <v>6</v>
      </c>
      <c r="J373" s="6">
        <v>9</v>
      </c>
      <c r="K373" s="6">
        <v>15</v>
      </c>
      <c r="L373" s="6">
        <v>3879.9999999999995</v>
      </c>
      <c r="N373" s="5" t="str">
        <f t="shared" si="34"/>
        <v>H - 152 x 160 x 6 x 10</v>
      </c>
      <c r="O373" s="25">
        <f t="shared" si="35"/>
        <v>31.337199999999999</v>
      </c>
      <c r="P373" s="6">
        <f t="shared" si="36"/>
        <v>152</v>
      </c>
      <c r="Q373" s="6">
        <f t="shared" si="36"/>
        <v>160</v>
      </c>
      <c r="R373" s="6" cm="1">
        <f t="array" ref="R373">IF(I373-LOOKUP(I373, $Y$4:$Y$26) &lt;= 0.1, LOOKUP(I373, $Y$4:$Y$26), MIN(_xlfn._xlws.FILTER($Y$4:$Y$26, $Y$4:$Y$26&gt;=I373)))</f>
        <v>6</v>
      </c>
      <c r="S373" s="6" cm="1">
        <f t="array" ref="S373">IF(J373-LOOKUP(J373, $Y$4:$Y$26) &lt;= 0.1, LOOKUP(J373, $Y$4:$Y$26), MIN(_xlfn._xlws.FILTER($Y$4:$Y$26, $Y$4:$Y$26&gt;=J373)))</f>
        <v>10</v>
      </c>
    </row>
    <row r="374" spans="1:19" x14ac:dyDescent="0.25">
      <c r="A374" t="s">
        <v>454</v>
      </c>
      <c r="B374" s="11">
        <f t="shared" si="31"/>
        <v>36</v>
      </c>
      <c r="C374" s="11" t="str">
        <f t="shared" si="32"/>
        <v>I HEA 180X36</v>
      </c>
      <c r="D374" s="5" t="s">
        <v>454</v>
      </c>
      <c r="E374" s="5" t="str">
        <f t="shared" si="33"/>
        <v>H - 171 x 180 x 6 x 9.5</v>
      </c>
      <c r="F374" s="25">
        <v>35.5</v>
      </c>
      <c r="G374" s="6">
        <v>171</v>
      </c>
      <c r="H374" s="6">
        <v>180</v>
      </c>
      <c r="I374" s="6">
        <v>6</v>
      </c>
      <c r="J374" s="6">
        <v>9.5</v>
      </c>
      <c r="K374" s="6">
        <v>15</v>
      </c>
      <c r="L374" s="6">
        <v>4530</v>
      </c>
      <c r="N374" s="5" t="str">
        <f t="shared" si="34"/>
        <v>H - 171 x 180 x 6 x 10</v>
      </c>
      <c r="O374" s="25">
        <f t="shared" si="35"/>
        <v>35.372100000000003</v>
      </c>
      <c r="P374" s="6">
        <f t="shared" si="36"/>
        <v>171</v>
      </c>
      <c r="Q374" s="6">
        <f t="shared" si="36"/>
        <v>180</v>
      </c>
      <c r="R374" s="6" cm="1">
        <f t="array" ref="R374">IF(I374-LOOKUP(I374, $Y$4:$Y$26) &lt;= 0.1, LOOKUP(I374, $Y$4:$Y$26), MIN(_xlfn._xlws.FILTER($Y$4:$Y$26, $Y$4:$Y$26&gt;=I374)))</f>
        <v>6</v>
      </c>
      <c r="S374" s="6" cm="1">
        <f t="array" ref="S374">IF(J374-LOOKUP(J374, $Y$4:$Y$26) &lt;= 0.1, LOOKUP(J374, $Y$4:$Y$26), MIN(_xlfn._xlws.FILTER($Y$4:$Y$26, $Y$4:$Y$26&gt;=J374)))</f>
        <v>10</v>
      </c>
    </row>
    <row r="375" spans="1:19" x14ac:dyDescent="0.25">
      <c r="A375" t="s">
        <v>455</v>
      </c>
      <c r="B375" s="11">
        <f t="shared" si="31"/>
        <v>42</v>
      </c>
      <c r="C375" s="11" t="str">
        <f t="shared" si="32"/>
        <v>I HEA 200X42</v>
      </c>
      <c r="D375" s="5" t="s">
        <v>455</v>
      </c>
      <c r="E375" s="5" t="str">
        <f t="shared" si="33"/>
        <v>H - 190 x 200 x 6.5 x 10</v>
      </c>
      <c r="F375" s="25">
        <v>42.3</v>
      </c>
      <c r="G375" s="6">
        <v>190</v>
      </c>
      <c r="H375" s="6">
        <v>200</v>
      </c>
      <c r="I375" s="6">
        <v>6.5</v>
      </c>
      <c r="J375" s="6">
        <v>10</v>
      </c>
      <c r="K375" s="6">
        <v>18</v>
      </c>
      <c r="L375" s="6">
        <v>5380</v>
      </c>
      <c r="N375" s="5" t="str">
        <f t="shared" si="34"/>
        <v>H - 190 x 200 x 8 x 10</v>
      </c>
      <c r="O375" s="25">
        <f t="shared" si="35"/>
        <v>42.076000000000001</v>
      </c>
      <c r="P375" s="6">
        <f t="shared" si="36"/>
        <v>190</v>
      </c>
      <c r="Q375" s="6">
        <f t="shared" si="36"/>
        <v>200</v>
      </c>
      <c r="R375" s="6" cm="1">
        <f t="array" ref="R375">IF(I375-LOOKUP(I375, $Y$4:$Y$26) &lt;= 0.1, LOOKUP(I375, $Y$4:$Y$26), MIN(_xlfn._xlws.FILTER($Y$4:$Y$26, $Y$4:$Y$26&gt;=I375)))</f>
        <v>8</v>
      </c>
      <c r="S375" s="6" cm="1">
        <f t="array" ref="S375">IF(J375-LOOKUP(J375, $Y$4:$Y$26) &lt;= 0.1, LOOKUP(J375, $Y$4:$Y$26), MIN(_xlfn._xlws.FILTER($Y$4:$Y$26, $Y$4:$Y$26&gt;=J375)))</f>
        <v>10</v>
      </c>
    </row>
    <row r="376" spans="1:19" x14ac:dyDescent="0.25">
      <c r="A376" t="s">
        <v>456</v>
      </c>
      <c r="B376" s="11">
        <f t="shared" si="31"/>
        <v>51</v>
      </c>
      <c r="C376" s="11" t="str">
        <f t="shared" si="32"/>
        <v>I HEA 220X51</v>
      </c>
      <c r="D376" s="5" t="s">
        <v>456</v>
      </c>
      <c r="E376" s="5" t="str">
        <f t="shared" si="33"/>
        <v>H - 210 x 220 x 7 x 11</v>
      </c>
      <c r="F376" s="25">
        <v>50.5</v>
      </c>
      <c r="G376" s="6">
        <v>210</v>
      </c>
      <c r="H376" s="6">
        <v>220</v>
      </c>
      <c r="I376" s="6">
        <v>7</v>
      </c>
      <c r="J376" s="6">
        <v>11</v>
      </c>
      <c r="K376" s="6">
        <v>18</v>
      </c>
      <c r="L376" s="6">
        <v>6430</v>
      </c>
      <c r="N376" s="5" t="str">
        <f t="shared" si="34"/>
        <v>H - 210 x 220 x 8 x 12</v>
      </c>
      <c r="O376" s="25">
        <f t="shared" si="35"/>
        <v>53.128799999999998</v>
      </c>
      <c r="P376" s="6">
        <f t="shared" si="36"/>
        <v>210</v>
      </c>
      <c r="Q376" s="6">
        <f t="shared" si="36"/>
        <v>220</v>
      </c>
      <c r="R376" s="6" cm="1">
        <f t="array" ref="R376">IF(I376-LOOKUP(I376, $Y$4:$Y$26) &lt;= 0.1, LOOKUP(I376, $Y$4:$Y$26), MIN(_xlfn._xlws.FILTER($Y$4:$Y$26, $Y$4:$Y$26&gt;=I376)))</f>
        <v>8</v>
      </c>
      <c r="S376" s="6" cm="1">
        <f t="array" ref="S376">IF(J376-LOOKUP(J376, $Y$4:$Y$26) &lt;= 0.1, LOOKUP(J376, $Y$4:$Y$26), MIN(_xlfn._xlws.FILTER($Y$4:$Y$26, $Y$4:$Y$26&gt;=J376)))</f>
        <v>12</v>
      </c>
    </row>
    <row r="377" spans="1:19" x14ac:dyDescent="0.25">
      <c r="A377" t="s">
        <v>457</v>
      </c>
      <c r="B377" s="11">
        <f t="shared" si="31"/>
        <v>60</v>
      </c>
      <c r="C377" s="11" t="str">
        <f t="shared" si="32"/>
        <v>I HEA 240X60</v>
      </c>
      <c r="D377" s="5" t="s">
        <v>457</v>
      </c>
      <c r="E377" s="5" t="str">
        <f t="shared" si="33"/>
        <v>H - 230 x 240 x 7.5 x 12</v>
      </c>
      <c r="F377" s="25">
        <v>60.3</v>
      </c>
      <c r="G377" s="6">
        <v>230</v>
      </c>
      <c r="H377" s="6">
        <v>240</v>
      </c>
      <c r="I377" s="6">
        <v>7.5</v>
      </c>
      <c r="J377" s="6">
        <v>12</v>
      </c>
      <c r="K377" s="6">
        <v>21</v>
      </c>
      <c r="L377" s="6">
        <v>7680</v>
      </c>
      <c r="N377" s="5" t="str">
        <f t="shared" si="34"/>
        <v>H - 230 x 240 x 8 x 12</v>
      </c>
      <c r="O377" s="25">
        <f t="shared" si="35"/>
        <v>58.152799999999999</v>
      </c>
      <c r="P377" s="6">
        <f t="shared" si="36"/>
        <v>230</v>
      </c>
      <c r="Q377" s="6">
        <f t="shared" si="36"/>
        <v>240</v>
      </c>
      <c r="R377" s="6" cm="1">
        <f t="array" ref="R377">IF(I377-LOOKUP(I377, $Y$4:$Y$26) &lt;= 0.1, LOOKUP(I377, $Y$4:$Y$26), MIN(_xlfn._xlws.FILTER($Y$4:$Y$26, $Y$4:$Y$26&gt;=I377)))</f>
        <v>8</v>
      </c>
      <c r="S377" s="6" cm="1">
        <f t="array" ref="S377">IF(J377-LOOKUP(J377, $Y$4:$Y$26) &lt;= 0.1, LOOKUP(J377, $Y$4:$Y$26), MIN(_xlfn._xlws.FILTER($Y$4:$Y$26, $Y$4:$Y$26&gt;=J377)))</f>
        <v>12</v>
      </c>
    </row>
    <row r="378" spans="1:19" x14ac:dyDescent="0.25">
      <c r="A378" t="s">
        <v>458</v>
      </c>
      <c r="B378" s="11">
        <f t="shared" si="31"/>
        <v>68</v>
      </c>
      <c r="C378" s="11" t="str">
        <f t="shared" si="32"/>
        <v>I HEA 260X68</v>
      </c>
      <c r="D378" s="5" t="s">
        <v>458</v>
      </c>
      <c r="E378" s="5" t="str">
        <f t="shared" si="33"/>
        <v>H - 250 x 260 x 7.5 x 12.5</v>
      </c>
      <c r="F378" s="25">
        <v>68.2</v>
      </c>
      <c r="G378" s="6">
        <v>250</v>
      </c>
      <c r="H378" s="6">
        <v>260</v>
      </c>
      <c r="I378" s="6">
        <v>7.5</v>
      </c>
      <c r="J378" s="6">
        <v>12.5</v>
      </c>
      <c r="K378" s="6">
        <v>24</v>
      </c>
      <c r="L378" s="6">
        <v>8680</v>
      </c>
      <c r="N378" s="5" t="str">
        <f t="shared" si="34"/>
        <v>H - 250 x 260 x 8 x 14</v>
      </c>
      <c r="O378" s="25">
        <f t="shared" si="35"/>
        <v>71.089600000000004</v>
      </c>
      <c r="P378" s="6">
        <f t="shared" si="36"/>
        <v>250</v>
      </c>
      <c r="Q378" s="6">
        <f t="shared" si="36"/>
        <v>260</v>
      </c>
      <c r="R378" s="6" cm="1">
        <f t="array" ref="R378">IF(I378-LOOKUP(I378, $Y$4:$Y$26) &lt;= 0.1, LOOKUP(I378, $Y$4:$Y$26), MIN(_xlfn._xlws.FILTER($Y$4:$Y$26, $Y$4:$Y$26&gt;=I378)))</f>
        <v>8</v>
      </c>
      <c r="S378" s="6" cm="1">
        <f t="array" ref="S378">IF(J378-LOOKUP(J378, $Y$4:$Y$26) &lt;= 0.1, LOOKUP(J378, $Y$4:$Y$26), MIN(_xlfn._xlws.FILTER($Y$4:$Y$26, $Y$4:$Y$26&gt;=J378)))</f>
        <v>14</v>
      </c>
    </row>
    <row r="379" spans="1:19" x14ac:dyDescent="0.25">
      <c r="A379" t="s">
        <v>459</v>
      </c>
      <c r="B379" s="11">
        <f t="shared" si="31"/>
        <v>76</v>
      </c>
      <c r="C379" s="11" t="str">
        <f t="shared" si="32"/>
        <v>I HEA 280X76</v>
      </c>
      <c r="D379" s="5" t="s">
        <v>459</v>
      </c>
      <c r="E379" s="5" t="str">
        <f t="shared" si="33"/>
        <v>H - 270 x 280 x 8 x 13</v>
      </c>
      <c r="F379" s="25">
        <v>76.400000000000006</v>
      </c>
      <c r="G379" s="6">
        <v>270</v>
      </c>
      <c r="H379" s="6">
        <v>280</v>
      </c>
      <c r="I379" s="6">
        <v>8</v>
      </c>
      <c r="J379" s="6">
        <v>13</v>
      </c>
      <c r="K379" s="6">
        <v>24</v>
      </c>
      <c r="L379" s="6">
        <v>9730</v>
      </c>
      <c r="N379" s="5" t="str">
        <f t="shared" si="34"/>
        <v>H - 270 x 280 x 8 x 14</v>
      </c>
      <c r="O379" s="25">
        <f t="shared" si="35"/>
        <v>76.741600000000005</v>
      </c>
      <c r="P379" s="6">
        <f t="shared" si="36"/>
        <v>270</v>
      </c>
      <c r="Q379" s="6">
        <f t="shared" si="36"/>
        <v>280</v>
      </c>
      <c r="R379" s="6" cm="1">
        <f t="array" ref="R379">IF(I379-LOOKUP(I379, $Y$4:$Y$26) &lt;= 0.1, LOOKUP(I379, $Y$4:$Y$26), MIN(_xlfn._xlws.FILTER($Y$4:$Y$26, $Y$4:$Y$26&gt;=I379)))</f>
        <v>8</v>
      </c>
      <c r="S379" s="6" cm="1">
        <f t="array" ref="S379">IF(J379-LOOKUP(J379, $Y$4:$Y$26) &lt;= 0.1, LOOKUP(J379, $Y$4:$Y$26), MIN(_xlfn._xlws.FILTER($Y$4:$Y$26, $Y$4:$Y$26&gt;=J379)))</f>
        <v>14</v>
      </c>
    </row>
    <row r="380" spans="1:19" x14ac:dyDescent="0.25">
      <c r="A380" t="s">
        <v>460</v>
      </c>
      <c r="B380" s="11">
        <f t="shared" si="31"/>
        <v>88</v>
      </c>
      <c r="C380" s="11" t="str">
        <f t="shared" si="32"/>
        <v>I HEA 300X88</v>
      </c>
      <c r="D380" s="5" t="s">
        <v>460</v>
      </c>
      <c r="E380" s="5" t="str">
        <f t="shared" si="33"/>
        <v>H - 290 x 300 x 8.5 x 14</v>
      </c>
      <c r="F380" s="25">
        <v>88.3</v>
      </c>
      <c r="G380" s="6">
        <v>290</v>
      </c>
      <c r="H380" s="6">
        <v>300</v>
      </c>
      <c r="I380" s="6">
        <v>8.5</v>
      </c>
      <c r="J380" s="6">
        <v>14</v>
      </c>
      <c r="K380" s="6">
        <v>27</v>
      </c>
      <c r="L380" s="6">
        <v>11250</v>
      </c>
      <c r="N380" s="5" t="str">
        <f t="shared" si="34"/>
        <v>H - 290 x 300 x 10 x 14</v>
      </c>
      <c r="O380" s="25">
        <f t="shared" si="35"/>
        <v>86.507000000000005</v>
      </c>
      <c r="P380" s="6">
        <f t="shared" si="36"/>
        <v>290</v>
      </c>
      <c r="Q380" s="6">
        <f t="shared" si="36"/>
        <v>300</v>
      </c>
      <c r="R380" s="6" cm="1">
        <f t="array" ref="R380">IF(I380-LOOKUP(I380, $Y$4:$Y$26) &lt;= 0.1, LOOKUP(I380, $Y$4:$Y$26), MIN(_xlfn._xlws.FILTER($Y$4:$Y$26, $Y$4:$Y$26&gt;=I380)))</f>
        <v>10</v>
      </c>
      <c r="S380" s="6" cm="1">
        <f t="array" ref="S380">IF(J380-LOOKUP(J380, $Y$4:$Y$26) &lt;= 0.1, LOOKUP(J380, $Y$4:$Y$26), MIN(_xlfn._xlws.FILTER($Y$4:$Y$26, $Y$4:$Y$26&gt;=J380)))</f>
        <v>14</v>
      </c>
    </row>
    <row r="381" spans="1:19" x14ac:dyDescent="0.25">
      <c r="A381" t="s">
        <v>461</v>
      </c>
      <c r="B381" s="11">
        <f t="shared" si="31"/>
        <v>125</v>
      </c>
      <c r="C381" s="11" t="str">
        <f t="shared" si="32"/>
        <v>I HEA 400X125</v>
      </c>
      <c r="D381" s="5" t="s">
        <v>461</v>
      </c>
      <c r="E381" s="5" t="str">
        <f t="shared" si="33"/>
        <v>H - 390 x 300 x 11 x 19</v>
      </c>
      <c r="F381" s="25">
        <v>125</v>
      </c>
      <c r="G381" s="6">
        <v>390</v>
      </c>
      <c r="H381" s="6">
        <v>300</v>
      </c>
      <c r="I381" s="6">
        <v>11</v>
      </c>
      <c r="J381" s="6">
        <v>19</v>
      </c>
      <c r="K381" s="6">
        <v>27</v>
      </c>
      <c r="L381" s="6">
        <v>15900</v>
      </c>
      <c r="N381" s="5" t="str">
        <f t="shared" si="34"/>
        <v>H - 390 x 300 x 12 x 20</v>
      </c>
      <c r="O381" s="25">
        <f t="shared" si="35"/>
        <v>127.17</v>
      </c>
      <c r="P381" s="6">
        <f t="shared" si="36"/>
        <v>390</v>
      </c>
      <c r="Q381" s="6">
        <f t="shared" si="36"/>
        <v>300</v>
      </c>
      <c r="R381" s="6" cm="1">
        <f t="array" ref="R381">IF(I381-LOOKUP(I381, $Y$4:$Y$26) &lt;= 0.1, LOOKUP(I381, $Y$4:$Y$26), MIN(_xlfn._xlws.FILTER($Y$4:$Y$26, $Y$4:$Y$26&gt;=I381)))</f>
        <v>12</v>
      </c>
      <c r="S381" s="6" cm="1">
        <f t="array" ref="S381">IF(J381-LOOKUP(J381, $Y$4:$Y$26) &lt;= 0.1, LOOKUP(J381, $Y$4:$Y$26), MIN(_xlfn._xlws.FILTER($Y$4:$Y$26, $Y$4:$Y$26&gt;=J381)))</f>
        <v>20</v>
      </c>
    </row>
    <row r="382" spans="1:19" x14ac:dyDescent="0.25">
      <c r="A382" t="s">
        <v>462</v>
      </c>
      <c r="B382" s="11">
        <f t="shared" si="31"/>
        <v>155</v>
      </c>
      <c r="C382" s="11" t="str">
        <f t="shared" si="32"/>
        <v>I HEA 500X155</v>
      </c>
      <c r="D382" s="5" t="s">
        <v>462</v>
      </c>
      <c r="E382" s="5" t="str">
        <f t="shared" si="33"/>
        <v>H - 490 x 300 x 12 x 23</v>
      </c>
      <c r="F382" s="25">
        <v>155</v>
      </c>
      <c r="G382" s="6">
        <v>490</v>
      </c>
      <c r="H382" s="6">
        <v>300</v>
      </c>
      <c r="I382" s="6">
        <v>12</v>
      </c>
      <c r="J382" s="6">
        <v>23</v>
      </c>
      <c r="K382" s="6">
        <v>27</v>
      </c>
      <c r="L382" s="6">
        <v>19800</v>
      </c>
      <c r="N382" s="5" t="str">
        <f t="shared" si="34"/>
        <v>H - 490 x 300 x 12 x 25</v>
      </c>
      <c r="O382" s="25">
        <f t="shared" si="35"/>
        <v>159.19800000000001</v>
      </c>
      <c r="P382" s="6">
        <f t="shared" si="36"/>
        <v>490</v>
      </c>
      <c r="Q382" s="6">
        <f t="shared" si="36"/>
        <v>300</v>
      </c>
      <c r="R382" s="6" cm="1">
        <f t="array" ref="R382">IF(I382-LOOKUP(I382, $Y$4:$Y$26) &lt;= 0.1, LOOKUP(I382, $Y$4:$Y$26), MIN(_xlfn._xlws.FILTER($Y$4:$Y$26, $Y$4:$Y$26&gt;=I382)))</f>
        <v>12</v>
      </c>
      <c r="S382" s="6" cm="1">
        <f t="array" ref="S382">IF(J382-LOOKUP(J382, $Y$4:$Y$26) &lt;= 0.1, LOOKUP(J382, $Y$4:$Y$26), MIN(_xlfn._xlws.FILTER($Y$4:$Y$26, $Y$4:$Y$26&gt;=J382)))</f>
        <v>25</v>
      </c>
    </row>
    <row r="383" spans="1:19" x14ac:dyDescent="0.25">
      <c r="A383" t="s">
        <v>463</v>
      </c>
      <c r="B383" s="11">
        <f t="shared" si="31"/>
        <v>20</v>
      </c>
      <c r="C383" s="11" t="str">
        <f t="shared" si="32"/>
        <v>I HEB 100X20</v>
      </c>
      <c r="D383" s="5" t="s">
        <v>463</v>
      </c>
      <c r="E383" s="5" t="str">
        <f t="shared" si="33"/>
        <v>H - 100 x 100 x 6 x 10</v>
      </c>
      <c r="F383" s="25">
        <v>20.399999999999999</v>
      </c>
      <c r="G383" s="6">
        <v>100</v>
      </c>
      <c r="H383" s="6">
        <v>100</v>
      </c>
      <c r="I383" s="6">
        <v>6</v>
      </c>
      <c r="J383" s="6">
        <v>10</v>
      </c>
      <c r="K383" s="6">
        <v>12</v>
      </c>
      <c r="L383" s="6">
        <v>2600</v>
      </c>
      <c r="N383" s="5" t="str">
        <f t="shared" si="34"/>
        <v>H - 100 x 100 x 6 x 10</v>
      </c>
      <c r="O383" s="25">
        <f t="shared" si="35"/>
        <v>19.468</v>
      </c>
      <c r="P383" s="6">
        <f t="shared" si="36"/>
        <v>100</v>
      </c>
      <c r="Q383" s="6">
        <f t="shared" si="36"/>
        <v>100</v>
      </c>
      <c r="R383" s="6" cm="1">
        <f t="array" ref="R383">IF(I383-LOOKUP(I383, $Y$4:$Y$26) &lt;= 0.1, LOOKUP(I383, $Y$4:$Y$26), MIN(_xlfn._xlws.FILTER($Y$4:$Y$26, $Y$4:$Y$26&gt;=I383)))</f>
        <v>6</v>
      </c>
      <c r="S383" s="6" cm="1">
        <f t="array" ref="S383">IF(J383-LOOKUP(J383, $Y$4:$Y$26) &lt;= 0.1, LOOKUP(J383, $Y$4:$Y$26), MIN(_xlfn._xlws.FILTER($Y$4:$Y$26, $Y$4:$Y$26&gt;=J383)))</f>
        <v>10</v>
      </c>
    </row>
    <row r="384" spans="1:19" x14ac:dyDescent="0.25">
      <c r="A384" t="s">
        <v>464</v>
      </c>
      <c r="B384" s="11">
        <f t="shared" si="31"/>
        <v>27</v>
      </c>
      <c r="C384" s="11" t="str">
        <f t="shared" si="32"/>
        <v>I HEB 120X27</v>
      </c>
      <c r="D384" s="5" t="s">
        <v>464</v>
      </c>
      <c r="E384" s="5" t="str">
        <f t="shared" si="33"/>
        <v>H - 120 x 120 x 6.5 x 11</v>
      </c>
      <c r="F384" s="25">
        <v>26.7</v>
      </c>
      <c r="G384" s="6">
        <v>120</v>
      </c>
      <c r="H384" s="6">
        <v>120</v>
      </c>
      <c r="I384" s="6">
        <v>6.5</v>
      </c>
      <c r="J384" s="6">
        <v>11</v>
      </c>
      <c r="K384" s="6">
        <v>12</v>
      </c>
      <c r="L384" s="6">
        <v>3400</v>
      </c>
      <c r="N384" s="5" t="str">
        <f t="shared" si="34"/>
        <v>H - 120 x 120 x 8 x 12</v>
      </c>
      <c r="O384" s="25">
        <f t="shared" si="35"/>
        <v>28.636800000000001</v>
      </c>
      <c r="P384" s="6">
        <f t="shared" si="36"/>
        <v>120</v>
      </c>
      <c r="Q384" s="6">
        <f t="shared" si="36"/>
        <v>120</v>
      </c>
      <c r="R384" s="6" cm="1">
        <f t="array" ref="R384">IF(I384-LOOKUP(I384, $Y$4:$Y$26) &lt;= 0.1, LOOKUP(I384, $Y$4:$Y$26), MIN(_xlfn._xlws.FILTER($Y$4:$Y$26, $Y$4:$Y$26&gt;=I384)))</f>
        <v>8</v>
      </c>
      <c r="S384" s="6" cm="1">
        <f t="array" ref="S384">IF(J384-LOOKUP(J384, $Y$4:$Y$26) &lt;= 0.1, LOOKUP(J384, $Y$4:$Y$26), MIN(_xlfn._xlws.FILTER($Y$4:$Y$26, $Y$4:$Y$26&gt;=J384)))</f>
        <v>12</v>
      </c>
    </row>
    <row r="385" spans="1:19" x14ac:dyDescent="0.25">
      <c r="A385" t="s">
        <v>465</v>
      </c>
      <c r="B385" s="11">
        <f t="shared" si="31"/>
        <v>34</v>
      </c>
      <c r="C385" s="11" t="str">
        <f t="shared" si="32"/>
        <v>I HEB 140X34</v>
      </c>
      <c r="D385" s="5" t="s">
        <v>465</v>
      </c>
      <c r="E385" s="5" t="str">
        <f t="shared" si="33"/>
        <v>H - 140 x 140 x 7 x 12</v>
      </c>
      <c r="F385" s="25">
        <v>33.700000000000003</v>
      </c>
      <c r="G385" s="6">
        <v>140</v>
      </c>
      <c r="H385" s="6">
        <v>140</v>
      </c>
      <c r="I385" s="6">
        <v>7</v>
      </c>
      <c r="J385" s="6">
        <v>12</v>
      </c>
      <c r="K385" s="6">
        <v>12</v>
      </c>
      <c r="L385" s="6">
        <v>4300</v>
      </c>
      <c r="N385" s="5" t="str">
        <f t="shared" si="34"/>
        <v>H - 140 x 140 x 8 x 12</v>
      </c>
      <c r="O385" s="25">
        <f t="shared" si="35"/>
        <v>33.660800000000002</v>
      </c>
      <c r="P385" s="6">
        <f t="shared" si="36"/>
        <v>140</v>
      </c>
      <c r="Q385" s="6">
        <f t="shared" si="36"/>
        <v>140</v>
      </c>
      <c r="R385" s="6" cm="1">
        <f t="array" ref="R385">IF(I385-LOOKUP(I385, $Y$4:$Y$26) &lt;= 0.1, LOOKUP(I385, $Y$4:$Y$26), MIN(_xlfn._xlws.FILTER($Y$4:$Y$26, $Y$4:$Y$26&gt;=I385)))</f>
        <v>8</v>
      </c>
      <c r="S385" s="6" cm="1">
        <f t="array" ref="S385">IF(J385-LOOKUP(J385, $Y$4:$Y$26) &lt;= 0.1, LOOKUP(J385, $Y$4:$Y$26), MIN(_xlfn._xlws.FILTER($Y$4:$Y$26, $Y$4:$Y$26&gt;=J385)))</f>
        <v>12</v>
      </c>
    </row>
    <row r="386" spans="1:19" x14ac:dyDescent="0.25">
      <c r="A386" t="s">
        <v>466</v>
      </c>
      <c r="B386" s="11">
        <f t="shared" si="31"/>
        <v>43</v>
      </c>
      <c r="C386" s="11" t="str">
        <f t="shared" si="32"/>
        <v>I HEB 160X43</v>
      </c>
      <c r="D386" s="5" t="s">
        <v>466</v>
      </c>
      <c r="E386" s="5" t="str">
        <f t="shared" si="33"/>
        <v>H - 160 x 160 x 8 x 13</v>
      </c>
      <c r="F386" s="25">
        <v>42.6</v>
      </c>
      <c r="G386" s="6">
        <v>160</v>
      </c>
      <c r="H386" s="6">
        <v>160</v>
      </c>
      <c r="I386" s="6">
        <v>8</v>
      </c>
      <c r="J386" s="6">
        <v>13</v>
      </c>
      <c r="K386" s="6">
        <v>15</v>
      </c>
      <c r="L386" s="6">
        <v>5430</v>
      </c>
      <c r="N386" s="5" t="str">
        <f t="shared" si="34"/>
        <v>H - 160 x 160 x 8 x 14</v>
      </c>
      <c r="O386" s="25">
        <f t="shared" si="35"/>
        <v>43.457599999999999</v>
      </c>
      <c r="P386" s="6">
        <f t="shared" si="36"/>
        <v>160</v>
      </c>
      <c r="Q386" s="6">
        <f t="shared" si="36"/>
        <v>160</v>
      </c>
      <c r="R386" s="6" cm="1">
        <f t="array" ref="R386">IF(I386-LOOKUP(I386, $Y$4:$Y$26) &lt;= 0.1, LOOKUP(I386, $Y$4:$Y$26), MIN(_xlfn._xlws.FILTER($Y$4:$Y$26, $Y$4:$Y$26&gt;=I386)))</f>
        <v>8</v>
      </c>
      <c r="S386" s="6" cm="1">
        <f t="array" ref="S386">IF(J386-LOOKUP(J386, $Y$4:$Y$26) &lt;= 0.1, LOOKUP(J386, $Y$4:$Y$26), MIN(_xlfn._xlws.FILTER($Y$4:$Y$26, $Y$4:$Y$26&gt;=J386)))</f>
        <v>14</v>
      </c>
    </row>
    <row r="387" spans="1:19" x14ac:dyDescent="0.25">
      <c r="A387" t="s">
        <v>467</v>
      </c>
      <c r="B387" s="11">
        <f t="shared" si="31"/>
        <v>51</v>
      </c>
      <c r="C387" s="11" t="str">
        <f t="shared" si="32"/>
        <v>I HEB 180X51</v>
      </c>
      <c r="D387" s="5" t="s">
        <v>467</v>
      </c>
      <c r="E387" s="5" t="str">
        <f t="shared" si="33"/>
        <v>H - 180 x 180 x 8.5 x 14</v>
      </c>
      <c r="F387" s="25">
        <v>51.2</v>
      </c>
      <c r="G387" s="6">
        <v>180</v>
      </c>
      <c r="H387" s="6">
        <v>180</v>
      </c>
      <c r="I387" s="6">
        <v>8.5</v>
      </c>
      <c r="J387" s="6">
        <v>14</v>
      </c>
      <c r="K387" s="6">
        <v>15</v>
      </c>
      <c r="L387" s="6">
        <v>6530</v>
      </c>
      <c r="N387" s="5" t="str">
        <f t="shared" si="34"/>
        <v>H - 180 x 180 x 10 x 14</v>
      </c>
      <c r="O387" s="25">
        <f t="shared" si="35"/>
        <v>51.496000000000002</v>
      </c>
      <c r="P387" s="6">
        <f t="shared" si="36"/>
        <v>180</v>
      </c>
      <c r="Q387" s="6">
        <f t="shared" si="36"/>
        <v>180</v>
      </c>
      <c r="R387" s="6" cm="1">
        <f t="array" ref="R387">IF(I387-LOOKUP(I387, $Y$4:$Y$26) &lt;= 0.1, LOOKUP(I387, $Y$4:$Y$26), MIN(_xlfn._xlws.FILTER($Y$4:$Y$26, $Y$4:$Y$26&gt;=I387)))</f>
        <v>10</v>
      </c>
      <c r="S387" s="6" cm="1">
        <f t="array" ref="S387">IF(J387-LOOKUP(J387, $Y$4:$Y$26) &lt;= 0.1, LOOKUP(J387, $Y$4:$Y$26), MIN(_xlfn._xlws.FILTER($Y$4:$Y$26, $Y$4:$Y$26&gt;=J387)))</f>
        <v>14</v>
      </c>
    </row>
    <row r="388" spans="1:19" x14ac:dyDescent="0.25">
      <c r="A388" t="s">
        <v>468</v>
      </c>
      <c r="B388" s="11">
        <f t="shared" si="31"/>
        <v>61</v>
      </c>
      <c r="C388" s="11" t="str">
        <f t="shared" si="32"/>
        <v>I HEB 200X61</v>
      </c>
      <c r="D388" s="5" t="s">
        <v>468</v>
      </c>
      <c r="E388" s="5" t="str">
        <f t="shared" si="33"/>
        <v>H - 200 x 200 x 9 x 15</v>
      </c>
      <c r="F388" s="25">
        <v>61.3</v>
      </c>
      <c r="G388" s="6">
        <v>200</v>
      </c>
      <c r="H388" s="6">
        <v>200</v>
      </c>
      <c r="I388" s="6">
        <v>9</v>
      </c>
      <c r="J388" s="6">
        <v>15</v>
      </c>
      <c r="K388" s="6">
        <v>18</v>
      </c>
      <c r="L388" s="6">
        <v>7809.9999999999991</v>
      </c>
      <c r="N388" s="5" t="str">
        <f t="shared" si="34"/>
        <v>H - 200 x 200 x 10 x 16</v>
      </c>
      <c r="O388" s="25">
        <f t="shared" si="35"/>
        <v>63.427999999999997</v>
      </c>
      <c r="P388" s="6">
        <f t="shared" si="36"/>
        <v>200</v>
      </c>
      <c r="Q388" s="6">
        <f t="shared" si="36"/>
        <v>200</v>
      </c>
      <c r="R388" s="6" cm="1">
        <f t="array" ref="R388">IF(I388-LOOKUP(I388, $Y$4:$Y$26) &lt;= 0.1, LOOKUP(I388, $Y$4:$Y$26), MIN(_xlfn._xlws.FILTER($Y$4:$Y$26, $Y$4:$Y$26&gt;=I388)))</f>
        <v>10</v>
      </c>
      <c r="S388" s="6" cm="1">
        <f t="array" ref="S388">IF(J388-LOOKUP(J388, $Y$4:$Y$26) &lt;= 0.1, LOOKUP(J388, $Y$4:$Y$26), MIN(_xlfn._xlws.FILTER($Y$4:$Y$26, $Y$4:$Y$26&gt;=J388)))</f>
        <v>16</v>
      </c>
    </row>
    <row r="389" spans="1:19" x14ac:dyDescent="0.25">
      <c r="A389" t="s">
        <v>469</v>
      </c>
      <c r="B389" s="11">
        <f t="shared" si="31"/>
        <v>72</v>
      </c>
      <c r="C389" s="11" t="str">
        <f t="shared" si="32"/>
        <v>I HEB 220X72</v>
      </c>
      <c r="D389" s="5" t="s">
        <v>469</v>
      </c>
      <c r="E389" s="5" t="str">
        <f t="shared" si="33"/>
        <v>H - 220 x 220 x 9.5 x 16</v>
      </c>
      <c r="F389" s="25">
        <v>71.5</v>
      </c>
      <c r="G389" s="6">
        <v>220</v>
      </c>
      <c r="H389" s="6">
        <v>220</v>
      </c>
      <c r="I389" s="6">
        <v>9.5</v>
      </c>
      <c r="J389" s="6">
        <v>16</v>
      </c>
      <c r="K389" s="6">
        <v>18</v>
      </c>
      <c r="L389" s="6">
        <v>9100</v>
      </c>
      <c r="N389" s="5" t="str">
        <f t="shared" si="34"/>
        <v>H - 220 x 220 x 10 x 16</v>
      </c>
      <c r="O389" s="25">
        <f t="shared" si="35"/>
        <v>70.022000000000006</v>
      </c>
      <c r="P389" s="6">
        <f t="shared" si="36"/>
        <v>220</v>
      </c>
      <c r="Q389" s="6">
        <f t="shared" si="36"/>
        <v>220</v>
      </c>
      <c r="R389" s="6" cm="1">
        <f t="array" ref="R389">IF(I389-LOOKUP(I389, $Y$4:$Y$26) &lt;= 0.1, LOOKUP(I389, $Y$4:$Y$26), MIN(_xlfn._xlws.FILTER($Y$4:$Y$26, $Y$4:$Y$26&gt;=I389)))</f>
        <v>10</v>
      </c>
      <c r="S389" s="6" cm="1">
        <f t="array" ref="S389">IF(J389-LOOKUP(J389, $Y$4:$Y$26) &lt;= 0.1, LOOKUP(J389, $Y$4:$Y$26), MIN(_xlfn._xlws.FILTER($Y$4:$Y$26, $Y$4:$Y$26&gt;=J389)))</f>
        <v>16</v>
      </c>
    </row>
    <row r="390" spans="1:19" x14ac:dyDescent="0.25">
      <c r="A390" t="s">
        <v>470</v>
      </c>
      <c r="B390" s="11">
        <f t="shared" ref="B390:B413" si="37">ROUND(F390,0)</f>
        <v>83</v>
      </c>
      <c r="C390" s="11" t="str">
        <f t="shared" ref="C390:C413" si="38">"I "&amp;A390&amp;"X"&amp;B390</f>
        <v>I HEB 240X83</v>
      </c>
      <c r="D390" s="5" t="s">
        <v>470</v>
      </c>
      <c r="E390" s="5" t="str">
        <f t="shared" ref="E390:E413" si="39">IF((G390/H390)&lt;2,"H - ","I - ")&amp;G390&amp;" x "&amp;H390&amp;" x "&amp;I390&amp;" x "&amp;J390</f>
        <v>H - 240 x 240 x 10 x 17</v>
      </c>
      <c r="F390" s="25">
        <v>83.2</v>
      </c>
      <c r="G390" s="6">
        <v>240</v>
      </c>
      <c r="H390" s="6">
        <v>240</v>
      </c>
      <c r="I390" s="6">
        <v>10</v>
      </c>
      <c r="J390" s="6">
        <v>17</v>
      </c>
      <c r="K390" s="6">
        <v>21</v>
      </c>
      <c r="L390" s="6">
        <v>10600</v>
      </c>
      <c r="N390" s="5" t="str">
        <f t="shared" ref="N390:N413" si="40">IF((P390/Q390)&lt;2,"H - ","I - ")&amp;P390&amp;" x "&amp;Q390&amp;" x "&amp;R390&amp;" x "&amp;S390</f>
        <v>H - 240 x 240 x 10 x 18</v>
      </c>
      <c r="O390" s="25">
        <f t="shared" ref="O390:O413" si="41">((P390-2*S390)*R390+2*Q390*S390)*7850/10^6</f>
        <v>83.837999999999994</v>
      </c>
      <c r="P390" s="6">
        <f t="shared" ref="P390:Q413" si="42">ROUND(G390,0)</f>
        <v>240</v>
      </c>
      <c r="Q390" s="6">
        <f t="shared" si="42"/>
        <v>240</v>
      </c>
      <c r="R390" s="6" cm="1">
        <f t="array" ref="R390">IF(I390-LOOKUP(I390, $Y$4:$Y$26) &lt;= 0.1, LOOKUP(I390, $Y$4:$Y$26), MIN(_xlfn._xlws.FILTER($Y$4:$Y$26, $Y$4:$Y$26&gt;=I390)))</f>
        <v>10</v>
      </c>
      <c r="S390" s="6" cm="1">
        <f t="array" ref="S390">IF(J390-LOOKUP(J390, $Y$4:$Y$26) &lt;= 0.1, LOOKUP(J390, $Y$4:$Y$26), MIN(_xlfn._xlws.FILTER($Y$4:$Y$26, $Y$4:$Y$26&gt;=J390)))</f>
        <v>18</v>
      </c>
    </row>
    <row r="391" spans="1:19" x14ac:dyDescent="0.25">
      <c r="A391" t="s">
        <v>471</v>
      </c>
      <c r="B391" s="11">
        <f t="shared" si="37"/>
        <v>93</v>
      </c>
      <c r="C391" s="11" t="str">
        <f t="shared" si="38"/>
        <v>I HEB 260X93</v>
      </c>
      <c r="D391" s="5" t="s">
        <v>471</v>
      </c>
      <c r="E391" s="5" t="str">
        <f t="shared" si="39"/>
        <v>H - 260 x 260 x 10 x 17.5</v>
      </c>
      <c r="F391" s="25">
        <v>93</v>
      </c>
      <c r="G391" s="6">
        <v>260</v>
      </c>
      <c r="H391" s="6">
        <v>260</v>
      </c>
      <c r="I391" s="6">
        <v>10</v>
      </c>
      <c r="J391" s="6">
        <v>17.5</v>
      </c>
      <c r="K391" s="6">
        <v>24</v>
      </c>
      <c r="L391" s="6">
        <v>11840</v>
      </c>
      <c r="N391" s="5" t="str">
        <f t="shared" si="40"/>
        <v>H - 260 x 260 x 10 x 18</v>
      </c>
      <c r="O391" s="25">
        <f t="shared" si="41"/>
        <v>91.06</v>
      </c>
      <c r="P391" s="6">
        <f t="shared" si="42"/>
        <v>260</v>
      </c>
      <c r="Q391" s="6">
        <f t="shared" si="42"/>
        <v>260</v>
      </c>
      <c r="R391" s="6" cm="1">
        <f t="array" ref="R391">IF(I391-LOOKUP(I391, $Y$4:$Y$26) &lt;= 0.1, LOOKUP(I391, $Y$4:$Y$26), MIN(_xlfn._xlws.FILTER($Y$4:$Y$26, $Y$4:$Y$26&gt;=I391)))</f>
        <v>10</v>
      </c>
      <c r="S391" s="6" cm="1">
        <f t="array" ref="S391">IF(J391-LOOKUP(J391, $Y$4:$Y$26) &lt;= 0.1, LOOKUP(J391, $Y$4:$Y$26), MIN(_xlfn._xlws.FILTER($Y$4:$Y$26, $Y$4:$Y$26&gt;=J391)))</f>
        <v>18</v>
      </c>
    </row>
    <row r="392" spans="1:19" x14ac:dyDescent="0.25">
      <c r="A392" t="s">
        <v>472</v>
      </c>
      <c r="B392" s="11">
        <f t="shared" si="37"/>
        <v>103</v>
      </c>
      <c r="C392" s="11" t="str">
        <f t="shared" si="38"/>
        <v>I HEB 280X103</v>
      </c>
      <c r="D392" s="5" t="s">
        <v>472</v>
      </c>
      <c r="E392" s="5" t="str">
        <f t="shared" si="39"/>
        <v>H - 280 x 280 x 10.5 x 18</v>
      </c>
      <c r="F392" s="25">
        <v>103</v>
      </c>
      <c r="G392" s="6">
        <v>280</v>
      </c>
      <c r="H392" s="6">
        <v>280</v>
      </c>
      <c r="I392" s="6">
        <v>10.5</v>
      </c>
      <c r="J392" s="6">
        <v>18</v>
      </c>
      <c r="K392" s="6">
        <v>24</v>
      </c>
      <c r="L392" s="6">
        <v>13140</v>
      </c>
      <c r="N392" s="5" t="str">
        <f t="shared" si="40"/>
        <v>H - 280 x 280 x 12 x 18</v>
      </c>
      <c r="O392" s="25">
        <f t="shared" si="41"/>
        <v>102.11279999999999</v>
      </c>
      <c r="P392" s="6">
        <f t="shared" si="42"/>
        <v>280</v>
      </c>
      <c r="Q392" s="6">
        <f t="shared" si="42"/>
        <v>280</v>
      </c>
      <c r="R392" s="6" cm="1">
        <f t="array" ref="R392">IF(I392-LOOKUP(I392, $Y$4:$Y$26) &lt;= 0.1, LOOKUP(I392, $Y$4:$Y$26), MIN(_xlfn._xlws.FILTER($Y$4:$Y$26, $Y$4:$Y$26&gt;=I392)))</f>
        <v>12</v>
      </c>
      <c r="S392" s="6" cm="1">
        <f t="array" ref="S392">IF(J392-LOOKUP(J392, $Y$4:$Y$26) &lt;= 0.1, LOOKUP(J392, $Y$4:$Y$26), MIN(_xlfn._xlws.FILTER($Y$4:$Y$26, $Y$4:$Y$26&gt;=J392)))</f>
        <v>18</v>
      </c>
    </row>
    <row r="393" spans="1:19" x14ac:dyDescent="0.25">
      <c r="A393" t="s">
        <v>473</v>
      </c>
      <c r="B393" s="11">
        <f t="shared" si="37"/>
        <v>117</v>
      </c>
      <c r="C393" s="11" t="str">
        <f t="shared" si="38"/>
        <v>I HEB 300X117</v>
      </c>
      <c r="D393" s="5" t="s">
        <v>473</v>
      </c>
      <c r="E393" s="5" t="str">
        <f t="shared" si="39"/>
        <v>H - 300 x 300 x 11 x 19</v>
      </c>
      <c r="F393" s="25">
        <v>117</v>
      </c>
      <c r="G393" s="6">
        <v>300</v>
      </c>
      <c r="H393" s="6">
        <v>300</v>
      </c>
      <c r="I393" s="6">
        <v>11</v>
      </c>
      <c r="J393" s="6">
        <v>19</v>
      </c>
      <c r="K393" s="6">
        <v>27</v>
      </c>
      <c r="L393" s="6">
        <v>14910</v>
      </c>
      <c r="N393" s="5" t="str">
        <f t="shared" si="40"/>
        <v>H - 300 x 300 x 12 x 20</v>
      </c>
      <c r="O393" s="25">
        <f t="shared" si="41"/>
        <v>118.69199999999999</v>
      </c>
      <c r="P393" s="6">
        <f t="shared" si="42"/>
        <v>300</v>
      </c>
      <c r="Q393" s="6">
        <f t="shared" si="42"/>
        <v>300</v>
      </c>
      <c r="R393" s="6" cm="1">
        <f t="array" ref="R393">IF(I393-LOOKUP(I393, $Y$4:$Y$26) &lt;= 0.1, LOOKUP(I393, $Y$4:$Y$26), MIN(_xlfn._xlws.FILTER($Y$4:$Y$26, $Y$4:$Y$26&gt;=I393)))</f>
        <v>12</v>
      </c>
      <c r="S393" s="6" cm="1">
        <f t="array" ref="S393">IF(J393-LOOKUP(J393, $Y$4:$Y$26) &lt;= 0.1, LOOKUP(J393, $Y$4:$Y$26), MIN(_xlfn._xlws.FILTER($Y$4:$Y$26, $Y$4:$Y$26&gt;=J393)))</f>
        <v>20</v>
      </c>
    </row>
    <row r="394" spans="1:19" x14ac:dyDescent="0.25">
      <c r="A394" t="s">
        <v>474</v>
      </c>
      <c r="B394" s="11">
        <f t="shared" si="37"/>
        <v>155</v>
      </c>
      <c r="C394" s="11" t="str">
        <f t="shared" si="38"/>
        <v>I HEB 400X155</v>
      </c>
      <c r="D394" s="5" t="s">
        <v>474</v>
      </c>
      <c r="E394" s="5" t="str">
        <f t="shared" si="39"/>
        <v>H - 400 x 300 x 13.5 x 24</v>
      </c>
      <c r="F394" s="25">
        <v>155</v>
      </c>
      <c r="G394" s="6">
        <v>400</v>
      </c>
      <c r="H394" s="6">
        <v>300</v>
      </c>
      <c r="I394" s="6">
        <v>13.5</v>
      </c>
      <c r="J394" s="6">
        <v>24</v>
      </c>
      <c r="K394" s="6">
        <v>27</v>
      </c>
      <c r="L394" s="6">
        <v>19800</v>
      </c>
      <c r="N394" s="5" t="str">
        <f t="shared" si="40"/>
        <v>H - 400 x 300 x 14 x 25</v>
      </c>
      <c r="O394" s="25">
        <f t="shared" si="41"/>
        <v>156.215</v>
      </c>
      <c r="P394" s="6">
        <f t="shared" si="42"/>
        <v>400</v>
      </c>
      <c r="Q394" s="6">
        <f t="shared" si="42"/>
        <v>300</v>
      </c>
      <c r="R394" s="6" cm="1">
        <f t="array" ref="R394">IF(I394-LOOKUP(I394, $Y$4:$Y$26) &lt;= 0.1, LOOKUP(I394, $Y$4:$Y$26), MIN(_xlfn._xlws.FILTER($Y$4:$Y$26, $Y$4:$Y$26&gt;=I394)))</f>
        <v>14</v>
      </c>
      <c r="S394" s="6" cm="1">
        <f t="array" ref="S394">IF(J394-LOOKUP(J394, $Y$4:$Y$26) &lt;= 0.1, LOOKUP(J394, $Y$4:$Y$26), MIN(_xlfn._xlws.FILTER($Y$4:$Y$26, $Y$4:$Y$26&gt;=J394)))</f>
        <v>25</v>
      </c>
    </row>
    <row r="395" spans="1:19" x14ac:dyDescent="0.25">
      <c r="A395" t="s">
        <v>475</v>
      </c>
      <c r="B395" s="11">
        <f t="shared" si="37"/>
        <v>187</v>
      </c>
      <c r="C395" s="11" t="str">
        <f t="shared" si="38"/>
        <v>I HEB 500X187</v>
      </c>
      <c r="D395" s="5" t="s">
        <v>475</v>
      </c>
      <c r="E395" s="5" t="str">
        <f t="shared" si="39"/>
        <v>H - 500 x 300 x 14.5 x 28</v>
      </c>
      <c r="F395" s="25">
        <v>187</v>
      </c>
      <c r="G395" s="6">
        <v>500</v>
      </c>
      <c r="H395" s="6">
        <v>300</v>
      </c>
      <c r="I395" s="6">
        <v>14.5</v>
      </c>
      <c r="J395" s="6">
        <v>28</v>
      </c>
      <c r="K395" s="6">
        <v>27</v>
      </c>
      <c r="L395" s="6">
        <v>23900</v>
      </c>
      <c r="N395" s="5" t="str">
        <f t="shared" si="40"/>
        <v>H - 500 x 300 x 16 x 28</v>
      </c>
      <c r="O395" s="25">
        <f t="shared" si="41"/>
        <v>187.6464</v>
      </c>
      <c r="P395" s="6">
        <f t="shared" si="42"/>
        <v>500</v>
      </c>
      <c r="Q395" s="6">
        <f t="shared" si="42"/>
        <v>300</v>
      </c>
      <c r="R395" s="6" cm="1">
        <f t="array" ref="R395">IF(I395-LOOKUP(I395, $Y$4:$Y$26) &lt;= 0.1, LOOKUP(I395, $Y$4:$Y$26), MIN(_xlfn._xlws.FILTER($Y$4:$Y$26, $Y$4:$Y$26&gt;=I395)))</f>
        <v>16</v>
      </c>
      <c r="S395" s="6" cm="1">
        <f t="array" ref="S395">IF(J395-LOOKUP(J395, $Y$4:$Y$26) &lt;= 0.1, LOOKUP(J395, $Y$4:$Y$26), MIN(_xlfn._xlws.FILTER($Y$4:$Y$26, $Y$4:$Y$26&gt;=J395)))</f>
        <v>28</v>
      </c>
    </row>
    <row r="396" spans="1:19" x14ac:dyDescent="0.25">
      <c r="A396" t="s">
        <v>476</v>
      </c>
      <c r="B396" s="11">
        <f t="shared" si="37"/>
        <v>42</v>
      </c>
      <c r="C396" s="11" t="str">
        <f t="shared" si="38"/>
        <v>I HEM 100X42</v>
      </c>
      <c r="D396" s="5" t="s">
        <v>476</v>
      </c>
      <c r="E396" s="5" t="str">
        <f t="shared" si="39"/>
        <v>H - 120 x 106 x 12 x 20</v>
      </c>
      <c r="F396" s="25">
        <v>41.8</v>
      </c>
      <c r="G396" s="6">
        <v>120</v>
      </c>
      <c r="H396" s="6">
        <v>106</v>
      </c>
      <c r="I396" s="6">
        <v>12</v>
      </c>
      <c r="J396" s="6">
        <v>20</v>
      </c>
      <c r="K396" s="6">
        <v>12</v>
      </c>
      <c r="L396" s="6">
        <v>5320</v>
      </c>
      <c r="N396" s="5" t="str">
        <f t="shared" si="40"/>
        <v>H - 120 x 106 x 12 x 20</v>
      </c>
      <c r="O396" s="25">
        <f t="shared" si="41"/>
        <v>40.82</v>
      </c>
      <c r="P396" s="6">
        <f t="shared" si="42"/>
        <v>120</v>
      </c>
      <c r="Q396" s="6">
        <f t="shared" si="42"/>
        <v>106</v>
      </c>
      <c r="R396" s="6" cm="1">
        <f t="array" ref="R396">IF(I396-LOOKUP(I396, $Y$4:$Y$26) &lt;= 0.1, LOOKUP(I396, $Y$4:$Y$26), MIN(_xlfn._xlws.FILTER($Y$4:$Y$26, $Y$4:$Y$26&gt;=I396)))</f>
        <v>12</v>
      </c>
      <c r="S396" s="6" cm="1">
        <f t="array" ref="S396">IF(J396-LOOKUP(J396, $Y$4:$Y$26) &lt;= 0.1, LOOKUP(J396, $Y$4:$Y$26), MIN(_xlfn._xlws.FILTER($Y$4:$Y$26, $Y$4:$Y$26&gt;=J396)))</f>
        <v>20</v>
      </c>
    </row>
    <row r="397" spans="1:19" x14ac:dyDescent="0.25">
      <c r="A397" t="s">
        <v>477</v>
      </c>
      <c r="B397" s="11">
        <f t="shared" si="37"/>
        <v>52</v>
      </c>
      <c r="C397" s="11" t="str">
        <f t="shared" si="38"/>
        <v>I HEM 120X52</v>
      </c>
      <c r="D397" s="5" t="s">
        <v>477</v>
      </c>
      <c r="E397" s="5" t="str">
        <f t="shared" si="39"/>
        <v>H - 140 x 126 x 12.5 x 21</v>
      </c>
      <c r="F397" s="25">
        <v>52.1</v>
      </c>
      <c r="G397" s="6">
        <v>140</v>
      </c>
      <c r="H397" s="6">
        <v>126</v>
      </c>
      <c r="I397" s="6">
        <v>12.5</v>
      </c>
      <c r="J397" s="6">
        <v>21</v>
      </c>
      <c r="K397" s="6">
        <v>12</v>
      </c>
      <c r="L397" s="6">
        <v>6640.0000000000009</v>
      </c>
      <c r="N397" s="5" t="str">
        <f t="shared" si="40"/>
        <v>H - 140 x 126 x 14 x 22</v>
      </c>
      <c r="O397" s="25">
        <f t="shared" si="41"/>
        <v>54.070799999999998</v>
      </c>
      <c r="P397" s="6">
        <f t="shared" si="42"/>
        <v>140</v>
      </c>
      <c r="Q397" s="6">
        <f t="shared" si="42"/>
        <v>126</v>
      </c>
      <c r="R397" s="6" cm="1">
        <f t="array" ref="R397">IF(I397-LOOKUP(I397, $Y$4:$Y$26) &lt;= 0.1, LOOKUP(I397, $Y$4:$Y$26), MIN(_xlfn._xlws.FILTER($Y$4:$Y$26, $Y$4:$Y$26&gt;=I397)))</f>
        <v>14</v>
      </c>
      <c r="S397" s="6" cm="1">
        <f t="array" ref="S397">IF(J397-LOOKUP(J397, $Y$4:$Y$26) &lt;= 0.1, LOOKUP(J397, $Y$4:$Y$26), MIN(_xlfn._xlws.FILTER($Y$4:$Y$26, $Y$4:$Y$26&gt;=J397)))</f>
        <v>22</v>
      </c>
    </row>
    <row r="398" spans="1:19" x14ac:dyDescent="0.25">
      <c r="A398" t="s">
        <v>478</v>
      </c>
      <c r="B398" s="11">
        <f t="shared" si="37"/>
        <v>63</v>
      </c>
      <c r="C398" s="11" t="str">
        <f t="shared" si="38"/>
        <v>I HEM 140X63</v>
      </c>
      <c r="D398" s="5" t="s">
        <v>478</v>
      </c>
      <c r="E398" s="5" t="str">
        <f t="shared" si="39"/>
        <v>H - 160 x 146 x 13 x 22</v>
      </c>
      <c r="F398" s="25">
        <v>63.2</v>
      </c>
      <c r="G398" s="6">
        <v>160</v>
      </c>
      <c r="H398" s="6">
        <v>146</v>
      </c>
      <c r="I398" s="6">
        <v>13</v>
      </c>
      <c r="J398" s="6">
        <v>22</v>
      </c>
      <c r="K398" s="6">
        <v>12</v>
      </c>
      <c r="L398" s="6">
        <v>8059.9999999999991</v>
      </c>
      <c r="N398" s="5" t="str">
        <f t="shared" si="40"/>
        <v>H - 160 x 146 x 14 x 22</v>
      </c>
      <c r="O398" s="25">
        <f t="shared" si="41"/>
        <v>63.1768</v>
      </c>
      <c r="P398" s="6">
        <f t="shared" si="42"/>
        <v>160</v>
      </c>
      <c r="Q398" s="6">
        <f t="shared" si="42"/>
        <v>146</v>
      </c>
      <c r="R398" s="6" cm="1">
        <f t="array" ref="R398">IF(I398-LOOKUP(I398, $Y$4:$Y$26) &lt;= 0.1, LOOKUP(I398, $Y$4:$Y$26), MIN(_xlfn._xlws.FILTER($Y$4:$Y$26, $Y$4:$Y$26&gt;=I398)))</f>
        <v>14</v>
      </c>
      <c r="S398" s="6" cm="1">
        <f t="array" ref="S398">IF(J398-LOOKUP(J398, $Y$4:$Y$26) &lt;= 0.1, LOOKUP(J398, $Y$4:$Y$26), MIN(_xlfn._xlws.FILTER($Y$4:$Y$26, $Y$4:$Y$26&gt;=J398)))</f>
        <v>22</v>
      </c>
    </row>
    <row r="399" spans="1:19" x14ac:dyDescent="0.25">
      <c r="A399" t="s">
        <v>479</v>
      </c>
      <c r="B399" s="11">
        <f t="shared" si="37"/>
        <v>76</v>
      </c>
      <c r="C399" s="11" t="str">
        <f t="shared" si="38"/>
        <v>I HEM 160X76</v>
      </c>
      <c r="D399" s="5" t="s">
        <v>479</v>
      </c>
      <c r="E399" s="5" t="str">
        <f t="shared" si="39"/>
        <v>H - 180 x 166 x 14 x 23</v>
      </c>
      <c r="F399" s="25">
        <v>76.2</v>
      </c>
      <c r="G399" s="6">
        <v>180</v>
      </c>
      <c r="H399" s="6">
        <v>166</v>
      </c>
      <c r="I399" s="6">
        <v>14</v>
      </c>
      <c r="J399" s="6">
        <v>23</v>
      </c>
      <c r="K399" s="6">
        <v>15</v>
      </c>
      <c r="L399" s="6">
        <v>9710</v>
      </c>
      <c r="N399" s="5" t="str">
        <f t="shared" si="40"/>
        <v>H - 180 x 166 x 14 x 25</v>
      </c>
      <c r="O399" s="25">
        <f t="shared" si="41"/>
        <v>79.441999999999993</v>
      </c>
      <c r="P399" s="6">
        <f t="shared" si="42"/>
        <v>180</v>
      </c>
      <c r="Q399" s="6">
        <f t="shared" si="42"/>
        <v>166</v>
      </c>
      <c r="R399" s="6" cm="1">
        <f t="array" ref="R399">IF(I399-LOOKUP(I399, $Y$4:$Y$26) &lt;= 0.1, LOOKUP(I399, $Y$4:$Y$26), MIN(_xlfn._xlws.FILTER($Y$4:$Y$26, $Y$4:$Y$26&gt;=I399)))</f>
        <v>14</v>
      </c>
      <c r="S399" s="6" cm="1">
        <f t="array" ref="S399">IF(J399-LOOKUP(J399, $Y$4:$Y$26) &lt;= 0.1, LOOKUP(J399, $Y$4:$Y$26), MIN(_xlfn._xlws.FILTER($Y$4:$Y$26, $Y$4:$Y$26&gt;=J399)))</f>
        <v>25</v>
      </c>
    </row>
    <row r="400" spans="1:19" x14ac:dyDescent="0.25">
      <c r="A400" t="s">
        <v>480</v>
      </c>
      <c r="B400" s="11">
        <f t="shared" si="37"/>
        <v>89</v>
      </c>
      <c r="C400" s="11" t="str">
        <f t="shared" si="38"/>
        <v>I HEM 180X89</v>
      </c>
      <c r="D400" s="5" t="s">
        <v>480</v>
      </c>
      <c r="E400" s="5" t="str">
        <f t="shared" si="39"/>
        <v>H - 200 x 186 x 14.5 x 24</v>
      </c>
      <c r="F400" s="25">
        <v>88.9</v>
      </c>
      <c r="G400" s="6">
        <v>200</v>
      </c>
      <c r="H400" s="6">
        <v>186</v>
      </c>
      <c r="I400" s="6">
        <v>14.5</v>
      </c>
      <c r="J400" s="6">
        <v>24</v>
      </c>
      <c r="K400" s="6">
        <v>15</v>
      </c>
      <c r="L400" s="6">
        <v>11330</v>
      </c>
      <c r="N400" s="5" t="str">
        <f t="shared" si="40"/>
        <v>H - 200 x 186 x 16 x 25</v>
      </c>
      <c r="O400" s="25">
        <f t="shared" si="41"/>
        <v>91.844999999999999</v>
      </c>
      <c r="P400" s="6">
        <f t="shared" si="42"/>
        <v>200</v>
      </c>
      <c r="Q400" s="6">
        <f t="shared" si="42"/>
        <v>186</v>
      </c>
      <c r="R400" s="6" cm="1">
        <f t="array" ref="R400">IF(I400-LOOKUP(I400, $Y$4:$Y$26) &lt;= 0.1, LOOKUP(I400, $Y$4:$Y$26), MIN(_xlfn._xlws.FILTER($Y$4:$Y$26, $Y$4:$Y$26&gt;=I400)))</f>
        <v>16</v>
      </c>
      <c r="S400" s="6" cm="1">
        <f t="array" ref="S400">IF(J400-LOOKUP(J400, $Y$4:$Y$26) &lt;= 0.1, LOOKUP(J400, $Y$4:$Y$26), MIN(_xlfn._xlws.FILTER($Y$4:$Y$26, $Y$4:$Y$26&gt;=J400)))</f>
        <v>25</v>
      </c>
    </row>
    <row r="401" spans="1:19" x14ac:dyDescent="0.25">
      <c r="A401" t="s">
        <v>481</v>
      </c>
      <c r="B401" s="11">
        <f t="shared" si="37"/>
        <v>103</v>
      </c>
      <c r="C401" s="11" t="str">
        <f t="shared" si="38"/>
        <v>I HEM 200X103</v>
      </c>
      <c r="D401" s="5" t="s">
        <v>481</v>
      </c>
      <c r="E401" s="5" t="str">
        <f t="shared" si="39"/>
        <v>H - 220 x 206 x 15 x 25</v>
      </c>
      <c r="F401" s="25">
        <v>103</v>
      </c>
      <c r="G401" s="6">
        <v>220</v>
      </c>
      <c r="H401" s="6">
        <v>206</v>
      </c>
      <c r="I401" s="6">
        <v>15</v>
      </c>
      <c r="J401" s="6">
        <v>25</v>
      </c>
      <c r="K401" s="6">
        <v>18</v>
      </c>
      <c r="L401" s="6">
        <v>13130.000000000002</v>
      </c>
      <c r="N401" s="5" t="str">
        <f t="shared" si="40"/>
        <v>H - 220 x 206 x 16 x 25</v>
      </c>
      <c r="O401" s="25">
        <f t="shared" si="41"/>
        <v>102.20699999999999</v>
      </c>
      <c r="P401" s="6">
        <f t="shared" si="42"/>
        <v>220</v>
      </c>
      <c r="Q401" s="6">
        <f t="shared" si="42"/>
        <v>206</v>
      </c>
      <c r="R401" s="6" cm="1">
        <f t="array" ref="R401">IF(I401-LOOKUP(I401, $Y$4:$Y$26) &lt;= 0.1, LOOKUP(I401, $Y$4:$Y$26), MIN(_xlfn._xlws.FILTER($Y$4:$Y$26, $Y$4:$Y$26&gt;=I401)))</f>
        <v>16</v>
      </c>
      <c r="S401" s="6" cm="1">
        <f t="array" ref="S401">IF(J401-LOOKUP(J401, $Y$4:$Y$26) &lt;= 0.1, LOOKUP(J401, $Y$4:$Y$26), MIN(_xlfn._xlws.FILTER($Y$4:$Y$26, $Y$4:$Y$26&gt;=J401)))</f>
        <v>25</v>
      </c>
    </row>
    <row r="402" spans="1:19" x14ac:dyDescent="0.25">
      <c r="A402" t="s">
        <v>482</v>
      </c>
      <c r="B402" s="11">
        <f t="shared" si="37"/>
        <v>117</v>
      </c>
      <c r="C402" s="11" t="str">
        <f t="shared" si="38"/>
        <v>I HEM 220X117</v>
      </c>
      <c r="D402" s="5" t="s">
        <v>482</v>
      </c>
      <c r="E402" s="5" t="str">
        <f t="shared" si="39"/>
        <v>H - 240 x 226 x 15.5 x 26</v>
      </c>
      <c r="F402" s="25">
        <v>117</v>
      </c>
      <c r="G402" s="6">
        <v>240</v>
      </c>
      <c r="H402" s="6">
        <v>226</v>
      </c>
      <c r="I402" s="6">
        <v>15.5</v>
      </c>
      <c r="J402" s="6">
        <v>26</v>
      </c>
      <c r="K402" s="6">
        <v>18</v>
      </c>
      <c r="L402" s="6">
        <v>14940</v>
      </c>
      <c r="N402" s="5" t="str">
        <f t="shared" si="40"/>
        <v>H - 240 x 226 x 16 x 28</v>
      </c>
      <c r="O402" s="25">
        <f t="shared" si="41"/>
        <v>122.46</v>
      </c>
      <c r="P402" s="6">
        <f t="shared" si="42"/>
        <v>240</v>
      </c>
      <c r="Q402" s="6">
        <f t="shared" si="42"/>
        <v>226</v>
      </c>
      <c r="R402" s="6" cm="1">
        <f t="array" ref="R402">IF(I402-LOOKUP(I402, $Y$4:$Y$26) &lt;= 0.1, LOOKUP(I402, $Y$4:$Y$26), MIN(_xlfn._xlws.FILTER($Y$4:$Y$26, $Y$4:$Y$26&gt;=I402)))</f>
        <v>16</v>
      </c>
      <c r="S402" s="6" cm="1">
        <f t="array" ref="S402">IF(J402-LOOKUP(J402, $Y$4:$Y$26) &lt;= 0.1, LOOKUP(J402, $Y$4:$Y$26), MIN(_xlfn._xlws.FILTER($Y$4:$Y$26, $Y$4:$Y$26&gt;=J402)))</f>
        <v>28</v>
      </c>
    </row>
    <row r="403" spans="1:19" x14ac:dyDescent="0.25">
      <c r="A403" t="s">
        <v>483</v>
      </c>
      <c r="B403" s="11">
        <f t="shared" si="37"/>
        <v>157</v>
      </c>
      <c r="C403" s="11" t="str">
        <f t="shared" si="38"/>
        <v>I HEM 240X157</v>
      </c>
      <c r="D403" s="5" t="s">
        <v>483</v>
      </c>
      <c r="E403" s="5" t="str">
        <f t="shared" si="39"/>
        <v>H - 270 x 248 x 18 x 32</v>
      </c>
      <c r="F403" s="25">
        <v>157</v>
      </c>
      <c r="G403" s="6">
        <v>270</v>
      </c>
      <c r="H403" s="6">
        <v>248</v>
      </c>
      <c r="I403" s="6">
        <v>18</v>
      </c>
      <c r="J403" s="6">
        <v>32</v>
      </c>
      <c r="K403" s="6">
        <v>21</v>
      </c>
      <c r="L403" s="6">
        <v>20000</v>
      </c>
      <c r="N403" s="5" t="str">
        <f t="shared" si="40"/>
        <v>H - 270 x 248 x 18 x 32</v>
      </c>
      <c r="O403" s="25">
        <f t="shared" si="41"/>
        <v>153.703</v>
      </c>
      <c r="P403" s="6">
        <f t="shared" si="42"/>
        <v>270</v>
      </c>
      <c r="Q403" s="6">
        <f t="shared" si="42"/>
        <v>248</v>
      </c>
      <c r="R403" s="6" cm="1">
        <f t="array" ref="R403">IF(I403-LOOKUP(I403, $Y$4:$Y$26) &lt;= 0.1, LOOKUP(I403, $Y$4:$Y$26), MIN(_xlfn._xlws.FILTER($Y$4:$Y$26, $Y$4:$Y$26&gt;=I403)))</f>
        <v>18</v>
      </c>
      <c r="S403" s="6" cm="1">
        <f t="array" ref="S403">IF(J403-LOOKUP(J403, $Y$4:$Y$26) &lt;= 0.1, LOOKUP(J403, $Y$4:$Y$26), MIN(_xlfn._xlws.FILTER($Y$4:$Y$26, $Y$4:$Y$26&gt;=J403)))</f>
        <v>32</v>
      </c>
    </row>
    <row r="404" spans="1:19" x14ac:dyDescent="0.25">
      <c r="A404" t="s">
        <v>484</v>
      </c>
      <c r="B404" s="11">
        <f t="shared" si="37"/>
        <v>172</v>
      </c>
      <c r="C404" s="11" t="str">
        <f t="shared" si="38"/>
        <v>I HEM 260X172</v>
      </c>
      <c r="D404" s="5" t="s">
        <v>484</v>
      </c>
      <c r="E404" s="5" t="str">
        <f t="shared" si="39"/>
        <v>H - 290 x 268 x 18 x 32.5</v>
      </c>
      <c r="F404" s="25">
        <v>172</v>
      </c>
      <c r="G404" s="6">
        <v>290</v>
      </c>
      <c r="H404" s="6">
        <v>268</v>
      </c>
      <c r="I404" s="6">
        <v>18</v>
      </c>
      <c r="J404" s="6">
        <v>32.5</v>
      </c>
      <c r="K404" s="6">
        <v>24</v>
      </c>
      <c r="L404" s="6">
        <v>21960</v>
      </c>
      <c r="N404" s="5" t="str">
        <f t="shared" si="40"/>
        <v>H - 290 x 268 x 18 x 35</v>
      </c>
      <c r="O404" s="25">
        <f t="shared" si="41"/>
        <v>178.352</v>
      </c>
      <c r="P404" s="6">
        <f t="shared" si="42"/>
        <v>290</v>
      </c>
      <c r="Q404" s="6">
        <f t="shared" si="42"/>
        <v>268</v>
      </c>
      <c r="R404" s="6" cm="1">
        <f t="array" ref="R404">IF(I404-LOOKUP(I404, $Y$4:$Y$26) &lt;= 0.1, LOOKUP(I404, $Y$4:$Y$26), MIN(_xlfn._xlws.FILTER($Y$4:$Y$26, $Y$4:$Y$26&gt;=I404)))</f>
        <v>18</v>
      </c>
      <c r="S404" s="6" cm="1">
        <f t="array" ref="S404">IF(J404-LOOKUP(J404, $Y$4:$Y$26) &lt;= 0.1, LOOKUP(J404, $Y$4:$Y$26), MIN(_xlfn._xlws.FILTER($Y$4:$Y$26, $Y$4:$Y$26&gt;=J404)))</f>
        <v>35</v>
      </c>
    </row>
    <row r="405" spans="1:19" x14ac:dyDescent="0.25">
      <c r="A405" t="s">
        <v>485</v>
      </c>
      <c r="B405" s="11">
        <f t="shared" si="37"/>
        <v>189</v>
      </c>
      <c r="C405" s="11" t="str">
        <f t="shared" si="38"/>
        <v>I HEM 280X189</v>
      </c>
      <c r="D405" s="5" t="s">
        <v>485</v>
      </c>
      <c r="E405" s="5" t="str">
        <f t="shared" si="39"/>
        <v>H - 310 x 288 x 18.5 x 33</v>
      </c>
      <c r="F405" s="25">
        <v>189</v>
      </c>
      <c r="G405" s="6">
        <v>310</v>
      </c>
      <c r="H405" s="6">
        <v>288</v>
      </c>
      <c r="I405" s="6">
        <v>18.5</v>
      </c>
      <c r="J405" s="6">
        <v>33</v>
      </c>
      <c r="K405" s="6">
        <v>24</v>
      </c>
      <c r="L405" s="6">
        <v>24040</v>
      </c>
      <c r="N405" s="5" t="str">
        <f t="shared" si="40"/>
        <v>H - 310 x 288 x 20 x 35</v>
      </c>
      <c r="O405" s="25">
        <f t="shared" si="41"/>
        <v>195.93600000000001</v>
      </c>
      <c r="P405" s="6">
        <f t="shared" si="42"/>
        <v>310</v>
      </c>
      <c r="Q405" s="6">
        <f t="shared" si="42"/>
        <v>288</v>
      </c>
      <c r="R405" s="6" cm="1">
        <f t="array" ref="R405">IF(I405-LOOKUP(I405, $Y$4:$Y$26) &lt;= 0.1, LOOKUP(I405, $Y$4:$Y$26), MIN(_xlfn._xlws.FILTER($Y$4:$Y$26, $Y$4:$Y$26&gt;=I405)))</f>
        <v>20</v>
      </c>
      <c r="S405" s="6" cm="1">
        <f t="array" ref="S405">IF(J405-LOOKUP(J405, $Y$4:$Y$26) &lt;= 0.1, LOOKUP(J405, $Y$4:$Y$26), MIN(_xlfn._xlws.FILTER($Y$4:$Y$26, $Y$4:$Y$26&gt;=J405)))</f>
        <v>35</v>
      </c>
    </row>
    <row r="406" spans="1:19" x14ac:dyDescent="0.25">
      <c r="A406" t="s">
        <v>486</v>
      </c>
      <c r="B406" s="11">
        <f t="shared" si="37"/>
        <v>238</v>
      </c>
      <c r="C406" s="11" t="str">
        <f t="shared" si="38"/>
        <v>I HEM 300X238</v>
      </c>
      <c r="D406" s="5" t="s">
        <v>486</v>
      </c>
      <c r="E406" s="5" t="str">
        <f t="shared" si="39"/>
        <v>H - 340 x 310 x 21 x 39</v>
      </c>
      <c r="F406" s="25">
        <v>238</v>
      </c>
      <c r="G406" s="6">
        <v>340</v>
      </c>
      <c r="H406" s="6">
        <v>310</v>
      </c>
      <c r="I406" s="6">
        <v>21</v>
      </c>
      <c r="J406" s="6">
        <v>39</v>
      </c>
      <c r="K406" s="6">
        <v>27</v>
      </c>
      <c r="L406" s="6">
        <v>30310.000000000004</v>
      </c>
      <c r="N406" s="5" t="str">
        <f t="shared" si="40"/>
        <v>H - 340 x 310 x 22 x 40</v>
      </c>
      <c r="O406" s="25">
        <f t="shared" si="41"/>
        <v>239.58199999999999</v>
      </c>
      <c r="P406" s="6">
        <f t="shared" si="42"/>
        <v>340</v>
      </c>
      <c r="Q406" s="6">
        <f t="shared" si="42"/>
        <v>310</v>
      </c>
      <c r="R406" s="6" cm="1">
        <f t="array" ref="R406">IF(I406-LOOKUP(I406, $Y$4:$Y$26) &lt;= 0.1, LOOKUP(I406, $Y$4:$Y$26), MIN(_xlfn._xlws.FILTER($Y$4:$Y$26, $Y$4:$Y$26&gt;=I406)))</f>
        <v>22</v>
      </c>
      <c r="S406" s="6" cm="1">
        <f t="array" ref="S406">IF(J406-LOOKUP(J406, $Y$4:$Y$26) &lt;= 0.1, LOOKUP(J406, $Y$4:$Y$26), MIN(_xlfn._xlws.FILTER($Y$4:$Y$26, $Y$4:$Y$26&gt;=J406)))</f>
        <v>40</v>
      </c>
    </row>
    <row r="407" spans="1:19" x14ac:dyDescent="0.25">
      <c r="A407" t="s">
        <v>517</v>
      </c>
      <c r="B407" s="11">
        <f t="shared" si="37"/>
        <v>53</v>
      </c>
      <c r="C407" s="11" t="str">
        <f t="shared" si="38"/>
        <v>I HP 200X53</v>
      </c>
      <c r="D407" s="5" t="s">
        <v>487</v>
      </c>
      <c r="E407" s="5" t="str">
        <f t="shared" si="39"/>
        <v>H - 204 x 207 x 10 x 10</v>
      </c>
      <c r="F407" s="25">
        <v>53</v>
      </c>
      <c r="G407" s="6">
        <v>204</v>
      </c>
      <c r="H407" s="6">
        <v>207</v>
      </c>
      <c r="I407" s="6">
        <v>10</v>
      </c>
      <c r="J407" s="6">
        <v>10</v>
      </c>
      <c r="K407" s="6">
        <v>15</v>
      </c>
      <c r="L407" s="6">
        <v>6750</v>
      </c>
      <c r="N407" s="5" t="str">
        <f t="shared" si="40"/>
        <v>H - 204 x 207 x 10 x 10</v>
      </c>
      <c r="O407" s="25">
        <f t="shared" si="41"/>
        <v>46.942999999999998</v>
      </c>
      <c r="P407" s="6">
        <f t="shared" si="42"/>
        <v>204</v>
      </c>
      <c r="Q407" s="6">
        <f t="shared" si="42"/>
        <v>207</v>
      </c>
      <c r="R407" s="6" cm="1">
        <f t="array" ref="R407">IF(I407-LOOKUP(I407, $Y$4:$Y$26) &lt;= 0.1, LOOKUP(I407, $Y$4:$Y$26), MIN(_xlfn._xlws.FILTER($Y$4:$Y$26, $Y$4:$Y$26&gt;=I407)))</f>
        <v>10</v>
      </c>
      <c r="S407" s="6" cm="1">
        <f t="array" ref="S407">IF(J407-LOOKUP(J407, $Y$4:$Y$26) &lt;= 0.1, LOOKUP(J407, $Y$4:$Y$26), MIN(_xlfn._xlws.FILTER($Y$4:$Y$26, $Y$4:$Y$26&gt;=J407)))</f>
        <v>10</v>
      </c>
    </row>
    <row r="408" spans="1:19" x14ac:dyDescent="0.25">
      <c r="A408" t="s">
        <v>518</v>
      </c>
      <c r="B408" s="11">
        <f t="shared" si="37"/>
        <v>57</v>
      </c>
      <c r="C408" s="11" t="str">
        <f t="shared" si="38"/>
        <v>I HP 220X57</v>
      </c>
      <c r="D408" s="5" t="s">
        <v>488</v>
      </c>
      <c r="E408" s="5" t="str">
        <f t="shared" si="39"/>
        <v>H - 222 x 224 x 10 x 10</v>
      </c>
      <c r="F408" s="25">
        <v>57.2</v>
      </c>
      <c r="G408" s="6">
        <v>222</v>
      </c>
      <c r="H408" s="6">
        <v>224</v>
      </c>
      <c r="I408" s="6">
        <v>10</v>
      </c>
      <c r="J408" s="6">
        <v>10</v>
      </c>
      <c r="K408" s="6">
        <v>15</v>
      </c>
      <c r="L408" s="6">
        <v>7290.0000000000009</v>
      </c>
      <c r="N408" s="5" t="str">
        <f t="shared" si="40"/>
        <v>H - 222 x 224 x 10 x 10</v>
      </c>
      <c r="O408" s="25">
        <f t="shared" si="41"/>
        <v>51.024999999999999</v>
      </c>
      <c r="P408" s="6">
        <f t="shared" si="42"/>
        <v>222</v>
      </c>
      <c r="Q408" s="6">
        <f t="shared" si="42"/>
        <v>224</v>
      </c>
      <c r="R408" s="6" cm="1">
        <f t="array" ref="R408">IF(I408-LOOKUP(I408, $Y$4:$Y$26) &lt;= 0.1, LOOKUP(I408, $Y$4:$Y$26), MIN(_xlfn._xlws.FILTER($Y$4:$Y$26, $Y$4:$Y$26&gt;=I408)))</f>
        <v>10</v>
      </c>
      <c r="S408" s="6" cm="1">
        <f t="array" ref="S408">IF(J408-LOOKUP(J408, $Y$4:$Y$26) &lt;= 0.1, LOOKUP(J408, $Y$4:$Y$26), MIN(_xlfn._xlws.FILTER($Y$4:$Y$26, $Y$4:$Y$26&gt;=J408)))</f>
        <v>10</v>
      </c>
    </row>
    <row r="409" spans="1:19" x14ac:dyDescent="0.25">
      <c r="A409" t="s">
        <v>519</v>
      </c>
      <c r="B409" s="11">
        <f t="shared" si="37"/>
        <v>75</v>
      </c>
      <c r="C409" s="11" t="str">
        <f t="shared" si="38"/>
        <v>I HP 260X75</v>
      </c>
      <c r="D409" s="5" t="s">
        <v>489</v>
      </c>
      <c r="E409" s="5" t="str">
        <f t="shared" si="39"/>
        <v>H - 258 x 262 x 12 x 12</v>
      </c>
      <c r="F409" s="25">
        <v>75</v>
      </c>
      <c r="G409" s="6">
        <v>258</v>
      </c>
      <c r="H409" s="6">
        <v>262</v>
      </c>
      <c r="I409" s="6">
        <v>12</v>
      </c>
      <c r="J409" s="6">
        <v>12</v>
      </c>
      <c r="K409" s="6">
        <v>15</v>
      </c>
      <c r="L409" s="6">
        <v>9550</v>
      </c>
      <c r="N409" s="5" t="str">
        <f t="shared" si="40"/>
        <v>H - 258 x 262 x 12 x 12</v>
      </c>
      <c r="O409" s="25">
        <f t="shared" si="41"/>
        <v>71.403599999999997</v>
      </c>
      <c r="P409" s="6">
        <f t="shared" si="42"/>
        <v>258</v>
      </c>
      <c r="Q409" s="6">
        <f t="shared" si="42"/>
        <v>262</v>
      </c>
      <c r="R409" s="6" cm="1">
        <f t="array" ref="R409">IF(I409-LOOKUP(I409, $Y$4:$Y$26) &lt;= 0.1, LOOKUP(I409, $Y$4:$Y$26), MIN(_xlfn._xlws.FILTER($Y$4:$Y$26, $Y$4:$Y$26&gt;=I409)))</f>
        <v>12</v>
      </c>
      <c r="S409" s="6" cm="1">
        <f t="array" ref="S409">IF(J409-LOOKUP(J409, $Y$4:$Y$26) &lt;= 0.1, LOOKUP(J409, $Y$4:$Y$26), MIN(_xlfn._xlws.FILTER($Y$4:$Y$26, $Y$4:$Y$26&gt;=J409)))</f>
        <v>12</v>
      </c>
    </row>
    <row r="410" spans="1:19" x14ac:dyDescent="0.25">
      <c r="A410" t="s">
        <v>520</v>
      </c>
      <c r="B410" s="11">
        <f t="shared" si="37"/>
        <v>88</v>
      </c>
      <c r="C410" s="11" t="str">
        <f t="shared" si="38"/>
        <v>I HP 300X88</v>
      </c>
      <c r="D410" s="5" t="s">
        <v>490</v>
      </c>
      <c r="E410" s="5" t="str">
        <f t="shared" si="39"/>
        <v>H - 299 x 303 x 12 x 12</v>
      </c>
      <c r="F410" s="25">
        <v>88</v>
      </c>
      <c r="G410" s="6">
        <v>299</v>
      </c>
      <c r="H410" s="6">
        <v>303</v>
      </c>
      <c r="I410" s="6">
        <v>12</v>
      </c>
      <c r="J410" s="6">
        <v>12</v>
      </c>
      <c r="K410" s="6">
        <v>15</v>
      </c>
      <c r="L410" s="6">
        <v>11200</v>
      </c>
      <c r="N410" s="5" t="str">
        <f t="shared" si="40"/>
        <v>H - 299 x 303 x 12 x 12</v>
      </c>
      <c r="O410" s="25">
        <f t="shared" si="41"/>
        <v>82.990200000000002</v>
      </c>
      <c r="P410" s="6">
        <f t="shared" si="42"/>
        <v>299</v>
      </c>
      <c r="Q410" s="6">
        <f t="shared" si="42"/>
        <v>303</v>
      </c>
      <c r="R410" s="6" cm="1">
        <f t="array" ref="R410">IF(I410-LOOKUP(I410, $Y$4:$Y$26) &lt;= 0.1, LOOKUP(I410, $Y$4:$Y$26), MIN(_xlfn._xlws.FILTER($Y$4:$Y$26, $Y$4:$Y$26&gt;=I410)))</f>
        <v>12</v>
      </c>
      <c r="S410" s="6" cm="1">
        <f t="array" ref="S410">IF(J410-LOOKUP(J410, $Y$4:$Y$26) &lt;= 0.1, LOOKUP(J410, $Y$4:$Y$26), MIN(_xlfn._xlws.FILTER($Y$4:$Y$26, $Y$4:$Y$26&gt;=J410)))</f>
        <v>12</v>
      </c>
    </row>
    <row r="411" spans="1:19" x14ac:dyDescent="0.25">
      <c r="A411" t="s">
        <v>521</v>
      </c>
      <c r="B411" s="11">
        <f t="shared" si="37"/>
        <v>117</v>
      </c>
      <c r="C411" s="11" t="str">
        <f t="shared" si="38"/>
        <v>I HP 320X117</v>
      </c>
      <c r="D411" s="5" t="s">
        <v>491</v>
      </c>
      <c r="E411" s="5" t="str">
        <f t="shared" si="39"/>
        <v>H - 319 x 325 x 15.5 x 15.5</v>
      </c>
      <c r="F411" s="25">
        <v>117</v>
      </c>
      <c r="G411" s="6">
        <v>319</v>
      </c>
      <c r="H411" s="6">
        <v>325</v>
      </c>
      <c r="I411" s="6">
        <v>15.5</v>
      </c>
      <c r="J411" s="6">
        <v>15.5</v>
      </c>
      <c r="K411" s="6">
        <v>15</v>
      </c>
      <c r="L411" s="6">
        <v>14900</v>
      </c>
      <c r="N411" s="5" t="str">
        <f t="shared" si="40"/>
        <v>H - 319 x 325 x 16 x 16</v>
      </c>
      <c r="O411" s="25">
        <f t="shared" si="41"/>
        <v>117.6872</v>
      </c>
      <c r="P411" s="6">
        <f t="shared" si="42"/>
        <v>319</v>
      </c>
      <c r="Q411" s="6">
        <f t="shared" si="42"/>
        <v>325</v>
      </c>
      <c r="R411" s="6" cm="1">
        <f t="array" ref="R411">IF(I411-LOOKUP(I411, $Y$4:$Y$26) &lt;= 0.1, LOOKUP(I411, $Y$4:$Y$26), MIN(_xlfn._xlws.FILTER($Y$4:$Y$26, $Y$4:$Y$26&gt;=I411)))</f>
        <v>16</v>
      </c>
      <c r="S411" s="6" cm="1">
        <f t="array" ref="S411">IF(J411-LOOKUP(J411, $Y$4:$Y$26) &lt;= 0.1, LOOKUP(J411, $Y$4:$Y$26), MIN(_xlfn._xlws.FILTER($Y$4:$Y$26, $Y$4:$Y$26&gt;=J411)))</f>
        <v>16</v>
      </c>
    </row>
    <row r="412" spans="1:19" x14ac:dyDescent="0.25">
      <c r="A412" t="s">
        <v>522</v>
      </c>
      <c r="B412" s="11">
        <f t="shared" si="37"/>
        <v>133</v>
      </c>
      <c r="C412" s="11" t="str">
        <f t="shared" si="38"/>
        <v>I HP 360X133</v>
      </c>
      <c r="D412" s="5" t="s">
        <v>492</v>
      </c>
      <c r="E412" s="5" t="str">
        <f t="shared" si="39"/>
        <v>H - 352 x 373 x 15.5 x 15.5</v>
      </c>
      <c r="F412" s="25">
        <v>133</v>
      </c>
      <c r="G412" s="6">
        <v>352</v>
      </c>
      <c r="H412" s="6">
        <v>373</v>
      </c>
      <c r="I412" s="6">
        <v>15.5</v>
      </c>
      <c r="J412" s="6">
        <v>15.5</v>
      </c>
      <c r="K412" s="6">
        <v>15</v>
      </c>
      <c r="L412" s="6">
        <v>17000</v>
      </c>
      <c r="N412" s="5" t="str">
        <f t="shared" si="40"/>
        <v>H - 352 x 373 x 16 x 16</v>
      </c>
      <c r="O412" s="25">
        <f t="shared" si="41"/>
        <v>133.8896</v>
      </c>
      <c r="P412" s="6">
        <f t="shared" si="42"/>
        <v>352</v>
      </c>
      <c r="Q412" s="6">
        <f t="shared" si="42"/>
        <v>373</v>
      </c>
      <c r="R412" s="6" cm="1">
        <f t="array" ref="R412">IF(I412-LOOKUP(I412, $Y$4:$Y$26) &lt;= 0.1, LOOKUP(I412, $Y$4:$Y$26), MIN(_xlfn._xlws.FILTER($Y$4:$Y$26, $Y$4:$Y$26&gt;=I412)))</f>
        <v>16</v>
      </c>
      <c r="S412" s="6" cm="1">
        <f t="array" ref="S412">IF(J412-LOOKUP(J412, $Y$4:$Y$26) &lt;= 0.1, LOOKUP(J412, $Y$4:$Y$26), MIN(_xlfn._xlws.FILTER($Y$4:$Y$26, $Y$4:$Y$26&gt;=J412)))</f>
        <v>16</v>
      </c>
    </row>
    <row r="413" spans="1:19" x14ac:dyDescent="0.25">
      <c r="A413" t="s">
        <v>523</v>
      </c>
      <c r="B413" s="11">
        <f t="shared" si="37"/>
        <v>176</v>
      </c>
      <c r="C413" s="11" t="str">
        <f t="shared" si="38"/>
        <v>I HP 400X176</v>
      </c>
      <c r="D413" s="5" t="s">
        <v>493</v>
      </c>
      <c r="E413" s="5" t="str">
        <f t="shared" si="39"/>
        <v>H - 392 x 403 x 19 x 19</v>
      </c>
      <c r="F413" s="25">
        <v>176</v>
      </c>
      <c r="G413" s="6">
        <v>392</v>
      </c>
      <c r="H413" s="6">
        <v>403</v>
      </c>
      <c r="I413" s="6">
        <v>19</v>
      </c>
      <c r="J413" s="6">
        <v>19</v>
      </c>
      <c r="K413" s="6">
        <v>15</v>
      </c>
      <c r="L413" s="6">
        <v>22400</v>
      </c>
      <c r="N413" s="5" t="str">
        <f t="shared" si="40"/>
        <v>H - 392 x 403 x 20 x 20</v>
      </c>
      <c r="O413" s="25">
        <f t="shared" si="41"/>
        <v>181.80600000000001</v>
      </c>
      <c r="P413" s="6">
        <f t="shared" si="42"/>
        <v>392</v>
      </c>
      <c r="Q413" s="6">
        <f t="shared" si="42"/>
        <v>403</v>
      </c>
      <c r="R413" s="6" cm="1">
        <f t="array" ref="R413">IF(I413-LOOKUP(I413, $Y$4:$Y$26) &lt;= 0.1, LOOKUP(I413, $Y$4:$Y$26), MIN(_xlfn._xlws.FILTER($Y$4:$Y$26, $Y$4:$Y$26&gt;=I413)))</f>
        <v>20</v>
      </c>
      <c r="S413" s="6" cm="1">
        <f t="array" ref="S413">IF(J413-LOOKUP(J413, $Y$4:$Y$26) &lt;= 0.1, LOOKUP(J413, $Y$4:$Y$26), MIN(_xlfn._xlws.FILTER($Y$4:$Y$26, $Y$4:$Y$26&gt;=J413)))</f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AD21-5FC9-437D-9F46-87313FAE4C91}">
  <dimension ref="A1:Y26"/>
  <sheetViews>
    <sheetView workbookViewId="0">
      <selection activeCell="E10" sqref="E10"/>
    </sheetView>
  </sheetViews>
  <sheetFormatPr defaultRowHeight="13.8" x14ac:dyDescent="0.25"/>
  <cols>
    <col min="1" max="3" width="15.5" customWidth="1"/>
    <col min="5" max="5" width="19.5" customWidth="1"/>
    <col min="11" max="13" width="3.19921875" customWidth="1"/>
    <col min="14" max="14" width="18.5" customWidth="1"/>
  </cols>
  <sheetData>
    <row r="1" spans="1:25" ht="13.8" customHeight="1" x14ac:dyDescent="0.25">
      <c r="A1" t="s">
        <v>543</v>
      </c>
      <c r="E1" s="10" t="s">
        <v>494</v>
      </c>
      <c r="F1" t="s">
        <v>499</v>
      </c>
      <c r="G1" t="s">
        <v>495</v>
      </c>
      <c r="H1" t="s">
        <v>496</v>
      </c>
      <c r="I1" t="s">
        <v>497</v>
      </c>
      <c r="J1" t="s">
        <v>498</v>
      </c>
      <c r="N1" s="10" t="s">
        <v>494</v>
      </c>
      <c r="O1" t="s">
        <v>499</v>
      </c>
      <c r="P1" t="s">
        <v>495</v>
      </c>
      <c r="Q1" t="s">
        <v>496</v>
      </c>
      <c r="R1" t="s">
        <v>497</v>
      </c>
      <c r="S1" t="s">
        <v>498</v>
      </c>
    </row>
    <row r="2" spans="1:25" x14ac:dyDescent="0.25">
      <c r="D2" s="18"/>
      <c r="F2" s="18"/>
      <c r="G2" s="18"/>
      <c r="H2" s="18"/>
      <c r="I2" s="18"/>
      <c r="J2" s="18"/>
      <c r="O2" s="18"/>
      <c r="P2" s="18"/>
      <c r="Q2" s="18"/>
      <c r="R2" s="18"/>
      <c r="S2" s="18"/>
    </row>
    <row r="3" spans="1:25" x14ac:dyDescent="0.25">
      <c r="D3" s="18"/>
      <c r="F3" s="18"/>
      <c r="G3" s="18"/>
      <c r="H3" s="18"/>
      <c r="I3" s="18"/>
      <c r="J3" s="18"/>
      <c r="O3" s="18"/>
      <c r="P3" s="18"/>
      <c r="Q3" s="18"/>
      <c r="R3" s="18"/>
      <c r="S3" s="18"/>
    </row>
    <row r="4" spans="1:25" ht="16.2" x14ac:dyDescent="0.35">
      <c r="D4" s="12" t="s">
        <v>75</v>
      </c>
      <c r="F4" s="12" t="s">
        <v>76</v>
      </c>
      <c r="G4" s="12" t="s">
        <v>77</v>
      </c>
      <c r="H4" s="12" t="s">
        <v>78</v>
      </c>
      <c r="I4" s="12" t="s">
        <v>80</v>
      </c>
      <c r="J4" s="12" t="s">
        <v>79</v>
      </c>
      <c r="O4" s="12" t="s">
        <v>76</v>
      </c>
      <c r="P4" s="12" t="s">
        <v>77</v>
      </c>
      <c r="Q4" s="12" t="s">
        <v>78</v>
      </c>
      <c r="R4" s="12" t="s">
        <v>80</v>
      </c>
      <c r="S4" s="12" t="s">
        <v>79</v>
      </c>
      <c r="Y4">
        <v>3</v>
      </c>
    </row>
    <row r="5" spans="1:25" x14ac:dyDescent="0.25">
      <c r="D5" s="12"/>
      <c r="F5" s="12"/>
      <c r="G5" s="12" t="s">
        <v>83</v>
      </c>
      <c r="H5" s="12" t="s">
        <v>83</v>
      </c>
      <c r="I5" s="12" t="s">
        <v>83</v>
      </c>
      <c r="J5" s="12" t="s">
        <v>83</v>
      </c>
      <c r="O5" s="12"/>
      <c r="P5" s="12" t="s">
        <v>83</v>
      </c>
      <c r="Q5" s="12" t="s">
        <v>83</v>
      </c>
      <c r="R5" s="12" t="s">
        <v>83</v>
      </c>
      <c r="S5" s="12" t="s">
        <v>83</v>
      </c>
      <c r="Y5">
        <v>4</v>
      </c>
    </row>
    <row r="6" spans="1:25" x14ac:dyDescent="0.25">
      <c r="A6" t="s">
        <v>534</v>
      </c>
      <c r="D6" s="13" t="s">
        <v>524</v>
      </c>
      <c r="E6" t="str">
        <f>"C-"&amp;G6&amp;"x"&amp;H6&amp;"x"&amp;J6&amp;"x"&amp;I6</f>
        <v>C-380x100x10x17.5</v>
      </c>
      <c r="F6" s="14">
        <v>55.2</v>
      </c>
      <c r="G6" s="14">
        <v>380</v>
      </c>
      <c r="H6" s="14">
        <v>100</v>
      </c>
      <c r="I6" s="14">
        <v>17.5</v>
      </c>
      <c r="J6" s="14">
        <v>10</v>
      </c>
      <c r="N6" t="str">
        <f>"C-"&amp;P6&amp;"x"&amp;Q6&amp;"x"&amp;S6&amp;"x"&amp;R6</f>
        <v>C-380x100x10x18</v>
      </c>
      <c r="O6" s="25">
        <f>((P6-2*S6)*R6+2*Q6*S6)*7850/10^6</f>
        <v>66.567999999999998</v>
      </c>
      <c r="P6" s="14">
        <v>380</v>
      </c>
      <c r="Q6" s="14">
        <v>100</v>
      </c>
      <c r="R6" s="6" cm="1">
        <f t="array" ref="R6">IF(I6-LOOKUP(I6, $Y$4:$Y$26) &lt;= 0.1, LOOKUP(I6, $Y$4:$Y$26), MIN(_xlfn._xlws.FILTER($Y$4:$Y$26, $Y$4:$Y$26&gt;=I6)))</f>
        <v>18</v>
      </c>
      <c r="S6" s="6" cm="1">
        <f t="array" ref="S6">IF(J6-LOOKUP(J6, $Y$4:$Y$26) &lt;= 0.1, LOOKUP(J6, $Y$4:$Y$26), MIN(_xlfn._xlws.FILTER($Y$4:$Y$26, $Y$4:$Y$26&gt;=J6)))</f>
        <v>10</v>
      </c>
      <c r="Y6">
        <v>6</v>
      </c>
    </row>
    <row r="7" spans="1:25" x14ac:dyDescent="0.25">
      <c r="A7" t="s">
        <v>535</v>
      </c>
      <c r="D7" s="12" t="s">
        <v>525</v>
      </c>
      <c r="E7" t="str">
        <f>"C-"&amp;G7&amp;"x"&amp;H7&amp;"x"&amp;J7&amp;"x"&amp;I7</f>
        <v>C-300x90x8x16</v>
      </c>
      <c r="F7" s="15">
        <v>40.1</v>
      </c>
      <c r="G7" s="15">
        <v>300</v>
      </c>
      <c r="H7" s="16">
        <v>90</v>
      </c>
      <c r="I7" s="16">
        <v>16</v>
      </c>
      <c r="J7" s="16">
        <v>8</v>
      </c>
      <c r="N7" t="str">
        <f>"C-"&amp;P7&amp;"x"&amp;Q7&amp;"x"&amp;S7&amp;"x"&amp;R7</f>
        <v>C-300x90x8x16</v>
      </c>
      <c r="O7" s="25">
        <f t="shared" ref="O7:O15" si="0">((P7-2*S7)*R7+2*Q7*S7)*7850/10^6</f>
        <v>46.974400000000003</v>
      </c>
      <c r="P7" s="15">
        <v>300</v>
      </c>
      <c r="Q7" s="16">
        <v>90</v>
      </c>
      <c r="R7" s="6" cm="1">
        <f t="array" ref="R7">IF(I7-LOOKUP(I7, $Y$4:$Y$26) &lt;= 0.1, LOOKUP(I7, $Y$4:$Y$26), MIN(_xlfn._xlws.FILTER($Y$4:$Y$26, $Y$4:$Y$26&gt;=I7)))</f>
        <v>16</v>
      </c>
      <c r="S7" s="6" cm="1">
        <f t="array" ref="S7">IF(J7-LOOKUP(J7, $Y$4:$Y$26) &lt;= 0.1, LOOKUP(J7, $Y$4:$Y$26), MIN(_xlfn._xlws.FILTER($Y$4:$Y$26, $Y$4:$Y$26&gt;=J7)))</f>
        <v>8</v>
      </c>
      <c r="Y7">
        <v>8</v>
      </c>
    </row>
    <row r="8" spans="1:25" x14ac:dyDescent="0.25">
      <c r="A8" t="s">
        <v>536</v>
      </c>
      <c r="D8" s="13" t="s">
        <v>526</v>
      </c>
      <c r="E8" t="str">
        <f>"C-"&amp;G8&amp;"x"&amp;H8&amp;"x"&amp;J8&amp;"x"&amp;I8</f>
        <v>C-250x90x8x15</v>
      </c>
      <c r="F8" s="14">
        <v>35.5</v>
      </c>
      <c r="G8" s="14">
        <v>250</v>
      </c>
      <c r="H8" s="17">
        <v>90</v>
      </c>
      <c r="I8" s="17">
        <v>15</v>
      </c>
      <c r="J8" s="17">
        <v>8</v>
      </c>
      <c r="N8" t="str">
        <f>"C-"&amp;P8&amp;"x"&amp;Q8&amp;"x"&amp;S8&amp;"x"&amp;R8</f>
        <v>C-250x90x8x16</v>
      </c>
      <c r="O8" s="25">
        <f t="shared" si="0"/>
        <v>40.694400000000002</v>
      </c>
      <c r="P8" s="14">
        <v>250</v>
      </c>
      <c r="Q8" s="17">
        <v>90</v>
      </c>
      <c r="R8" s="6" cm="1">
        <f t="array" ref="R8">IF(I8-LOOKUP(I8, $Y$4:$Y$26) &lt;= 0.1, LOOKUP(I8, $Y$4:$Y$26), MIN(_xlfn._xlws.FILTER($Y$4:$Y$26, $Y$4:$Y$26&gt;=I8)))</f>
        <v>16</v>
      </c>
      <c r="S8" s="6" cm="1">
        <f t="array" ref="S8">IF(J8-LOOKUP(J8, $Y$4:$Y$26) &lt;= 0.1, LOOKUP(J8, $Y$4:$Y$26), MIN(_xlfn._xlws.FILTER($Y$4:$Y$26, $Y$4:$Y$26&gt;=J8)))</f>
        <v>8</v>
      </c>
      <c r="Y8">
        <v>10</v>
      </c>
    </row>
    <row r="9" spans="1:25" x14ac:dyDescent="0.25">
      <c r="A9" t="s">
        <v>537</v>
      </c>
      <c r="D9" s="12" t="s">
        <v>527</v>
      </c>
      <c r="E9" t="str">
        <f>"C-"&amp;G9&amp;"x"&amp;H9&amp;"x"&amp;J9&amp;"x"&amp;I9</f>
        <v>C-230x75x6.5x12</v>
      </c>
      <c r="F9" s="15">
        <v>25.1</v>
      </c>
      <c r="G9" s="15">
        <v>230</v>
      </c>
      <c r="H9" s="16">
        <v>75</v>
      </c>
      <c r="I9" s="16">
        <v>12</v>
      </c>
      <c r="J9" s="15">
        <v>6.5</v>
      </c>
      <c r="N9" t="str">
        <f>"C-"&amp;P9&amp;"x"&amp;Q9&amp;"x"&amp;S9&amp;"x"&amp;R9</f>
        <v>C-230x75x8x12</v>
      </c>
      <c r="O9" s="25">
        <f t="shared" si="0"/>
        <v>29.578800000000001</v>
      </c>
      <c r="P9" s="15">
        <v>230</v>
      </c>
      <c r="Q9" s="16">
        <v>75</v>
      </c>
      <c r="R9" s="6" cm="1">
        <f t="array" ref="R9">IF(I9-LOOKUP(I9, $Y$4:$Y$26) &lt;= 0.1, LOOKUP(I9, $Y$4:$Y$26), MIN(_xlfn._xlws.FILTER($Y$4:$Y$26, $Y$4:$Y$26&gt;=I9)))</f>
        <v>12</v>
      </c>
      <c r="S9" s="6" cm="1">
        <f t="array" ref="S9">IF(J9-LOOKUP(J9, $Y$4:$Y$26) &lt;= 0.1, LOOKUP(J9, $Y$4:$Y$26), MIN(_xlfn._xlws.FILTER($Y$4:$Y$26, $Y$4:$Y$26&gt;=J9)))</f>
        <v>8</v>
      </c>
      <c r="Y9">
        <v>12</v>
      </c>
    </row>
    <row r="10" spans="1:25" x14ac:dyDescent="0.25">
      <c r="A10" t="s">
        <v>538</v>
      </c>
      <c r="D10" s="13" t="s">
        <v>528</v>
      </c>
      <c r="E10" t="str">
        <f>"C-"&amp;G10&amp;"x"&amp;H10&amp;"x"&amp;J10&amp;"x"&amp;I10</f>
        <v>C-200x75x6x12</v>
      </c>
      <c r="F10" s="14">
        <v>22.9</v>
      </c>
      <c r="G10" s="14">
        <v>200</v>
      </c>
      <c r="H10" s="17">
        <v>75</v>
      </c>
      <c r="I10" s="17">
        <v>12</v>
      </c>
      <c r="J10" s="17">
        <v>6</v>
      </c>
      <c r="N10" t="str">
        <f>"C-"&amp;P10&amp;"x"&amp;Q10&amp;"x"&amp;S10&amp;"x"&amp;R10</f>
        <v>C-200x75x6x12</v>
      </c>
      <c r="O10" s="25">
        <f t="shared" si="0"/>
        <v>24.7746</v>
      </c>
      <c r="P10" s="14">
        <v>200</v>
      </c>
      <c r="Q10" s="17">
        <v>75</v>
      </c>
      <c r="R10" s="6" cm="1">
        <f t="array" ref="R10">IF(I10-LOOKUP(I10, $Y$4:$Y$26) &lt;= 0.1, LOOKUP(I10, $Y$4:$Y$26), MIN(_xlfn._xlws.FILTER($Y$4:$Y$26, $Y$4:$Y$26&gt;=I10)))</f>
        <v>12</v>
      </c>
      <c r="S10" s="6" cm="1">
        <f t="array" ref="S10">IF(J10-LOOKUP(J10, $Y$4:$Y$26) &lt;= 0.1, LOOKUP(J10, $Y$4:$Y$26), MIN(_xlfn._xlws.FILTER($Y$4:$Y$26, $Y$4:$Y$26&gt;=J10)))</f>
        <v>6</v>
      </c>
      <c r="Y10">
        <v>14</v>
      </c>
    </row>
    <row r="11" spans="1:25" x14ac:dyDescent="0.25">
      <c r="A11" t="s">
        <v>539</v>
      </c>
      <c r="D11" s="12" t="s">
        <v>529</v>
      </c>
      <c r="E11" t="str">
        <f>"C-"&amp;G11&amp;"x"&amp;H11&amp;"x"&amp;J11&amp;"x"&amp;I11</f>
        <v>C-180x75x6x11</v>
      </c>
      <c r="F11" s="15">
        <v>20.9</v>
      </c>
      <c r="G11" s="15">
        <v>180</v>
      </c>
      <c r="H11" s="16">
        <v>75</v>
      </c>
      <c r="I11" s="16">
        <v>11</v>
      </c>
      <c r="J11" s="16">
        <v>6</v>
      </c>
      <c r="N11" t="str">
        <f>"C-"&amp;P11&amp;"x"&amp;Q11&amp;"x"&amp;S11&amp;"x"&amp;R11</f>
        <v>C-180x75x6x12</v>
      </c>
      <c r="O11" s="25">
        <f t="shared" si="0"/>
        <v>22.890599999999999</v>
      </c>
      <c r="P11" s="15">
        <v>180</v>
      </c>
      <c r="Q11" s="16">
        <v>75</v>
      </c>
      <c r="R11" s="6" cm="1">
        <f t="array" ref="R11">IF(I11-LOOKUP(I11, $Y$4:$Y$26) &lt;= 0.1, LOOKUP(I11, $Y$4:$Y$26), MIN(_xlfn._xlws.FILTER($Y$4:$Y$26, $Y$4:$Y$26&gt;=I11)))</f>
        <v>12</v>
      </c>
      <c r="S11" s="6" cm="1">
        <f t="array" ref="S11">IF(J11-LOOKUP(J11, $Y$4:$Y$26) &lt;= 0.1, LOOKUP(J11, $Y$4:$Y$26), MIN(_xlfn._xlws.FILTER($Y$4:$Y$26, $Y$4:$Y$26&gt;=J11)))</f>
        <v>6</v>
      </c>
      <c r="Y11">
        <v>16</v>
      </c>
    </row>
    <row r="12" spans="1:25" x14ac:dyDescent="0.25">
      <c r="A12" t="s">
        <v>540</v>
      </c>
      <c r="D12" s="13" t="s">
        <v>530</v>
      </c>
      <c r="E12" t="str">
        <f>"C-"&amp;G12&amp;"x"&amp;H12&amp;"x"&amp;J12&amp;"x"&amp;I12</f>
        <v>C-150x75x6x9.5</v>
      </c>
      <c r="F12" s="14">
        <v>17.7</v>
      </c>
      <c r="G12" s="14">
        <v>150</v>
      </c>
      <c r="H12" s="17">
        <v>75</v>
      </c>
      <c r="I12" s="14">
        <v>9.5</v>
      </c>
      <c r="J12" s="17">
        <v>6</v>
      </c>
      <c r="N12" t="str">
        <f>"C-"&amp;P12&amp;"x"&amp;Q12&amp;"x"&amp;S12&amp;"x"&amp;R12</f>
        <v>C-150x75x6x10</v>
      </c>
      <c r="O12" s="25">
        <f t="shared" si="0"/>
        <v>17.898</v>
      </c>
      <c r="P12" s="14">
        <v>150</v>
      </c>
      <c r="Q12" s="17">
        <v>75</v>
      </c>
      <c r="R12" s="6" cm="1">
        <f t="array" ref="R12">IF(I12-LOOKUP(I12, $Y$4:$Y$26) &lt;= 0.1, LOOKUP(I12, $Y$4:$Y$26), MIN(_xlfn._xlws.FILTER($Y$4:$Y$26, $Y$4:$Y$26&gt;=I12)))</f>
        <v>10</v>
      </c>
      <c r="S12" s="6" cm="1">
        <f t="array" ref="S12">IF(J12-LOOKUP(J12, $Y$4:$Y$26) &lt;= 0.1, LOOKUP(J12, $Y$4:$Y$26), MIN(_xlfn._xlws.FILTER($Y$4:$Y$26, $Y$4:$Y$26&gt;=J12)))</f>
        <v>6</v>
      </c>
      <c r="Y12">
        <v>18</v>
      </c>
    </row>
    <row r="13" spans="1:25" x14ac:dyDescent="0.25">
      <c r="A13" t="s">
        <v>541</v>
      </c>
      <c r="D13" s="12" t="s">
        <v>531</v>
      </c>
      <c r="E13" t="str">
        <f>"C-"&amp;G13&amp;"x"&amp;H13&amp;"x"&amp;J13&amp;"x"&amp;I13</f>
        <v>C-125x65x4.7x7.5</v>
      </c>
      <c r="F13" s="15">
        <v>11.9</v>
      </c>
      <c r="G13" s="15">
        <v>125</v>
      </c>
      <c r="H13" s="16">
        <v>65</v>
      </c>
      <c r="I13" s="15">
        <v>7.5</v>
      </c>
      <c r="J13" s="15">
        <v>4.7</v>
      </c>
      <c r="N13" t="str">
        <f>"C-"&amp;P13&amp;"x"&amp;Q13&amp;"x"&amp;S13&amp;"x"&amp;R13</f>
        <v>C-125x65x6x8</v>
      </c>
      <c r="O13" s="25">
        <f t="shared" si="0"/>
        <v>13.2194</v>
      </c>
      <c r="P13" s="15">
        <v>125</v>
      </c>
      <c r="Q13" s="16">
        <v>65</v>
      </c>
      <c r="R13" s="6" cm="1">
        <f t="array" ref="R13">IF(I13-LOOKUP(I13, $Y$4:$Y$26) &lt;= 0.1, LOOKUP(I13, $Y$4:$Y$26), MIN(_xlfn._xlws.FILTER($Y$4:$Y$26, $Y$4:$Y$26&gt;=I13)))</f>
        <v>8</v>
      </c>
      <c r="S13" s="6" cm="1">
        <f t="array" ref="S13">IF(J13-LOOKUP(J13, $Y$4:$Y$26) &lt;= 0.1, LOOKUP(J13, $Y$4:$Y$26), MIN(_xlfn._xlws.FILTER($Y$4:$Y$26, $Y$4:$Y$26&gt;=J13)))</f>
        <v>6</v>
      </c>
      <c r="Y13">
        <v>20</v>
      </c>
    </row>
    <row r="14" spans="1:25" x14ac:dyDescent="0.25">
      <c r="A14" t="s">
        <v>542</v>
      </c>
      <c r="D14" s="13" t="s">
        <v>532</v>
      </c>
      <c r="E14" t="str">
        <f>"C-"&amp;G14&amp;"x"&amp;H14&amp;"x"&amp;J14&amp;"x"&amp;I14</f>
        <v>C-100x50x4.2x6.7</v>
      </c>
      <c r="F14" s="14">
        <v>8.33</v>
      </c>
      <c r="G14" s="14">
        <v>100</v>
      </c>
      <c r="H14" s="17">
        <v>50</v>
      </c>
      <c r="I14" s="14">
        <v>6.7</v>
      </c>
      <c r="J14" s="14">
        <v>4.2</v>
      </c>
      <c r="N14" t="str">
        <f>"C-"&amp;P14&amp;"x"&amp;Q14&amp;"x"&amp;S14&amp;"x"&amp;R14</f>
        <v>C-100x50x6x8</v>
      </c>
      <c r="O14" s="25">
        <f t="shared" si="0"/>
        <v>10.2364</v>
      </c>
      <c r="P14" s="14">
        <v>100</v>
      </c>
      <c r="Q14" s="17">
        <v>50</v>
      </c>
      <c r="R14" s="6" cm="1">
        <f t="array" ref="R14">IF(I14-LOOKUP(I14, $Y$4:$Y$26) &lt;= 0.1, LOOKUP(I14, $Y$4:$Y$26), MIN(_xlfn._xlws.FILTER($Y$4:$Y$26, $Y$4:$Y$26&gt;=I14)))</f>
        <v>8</v>
      </c>
      <c r="S14" s="6" cm="1">
        <f t="array" ref="S14">IF(J14-LOOKUP(J14, $Y$4:$Y$26) &lt;= 0.1, LOOKUP(J14, $Y$4:$Y$26), MIN(_xlfn._xlws.FILTER($Y$4:$Y$26, $Y$4:$Y$26&gt;=J14)))</f>
        <v>6</v>
      </c>
      <c r="Y14">
        <v>22</v>
      </c>
    </row>
    <row r="15" spans="1:25" x14ac:dyDescent="0.25">
      <c r="A15" t="s">
        <v>544</v>
      </c>
      <c r="D15" s="12" t="s">
        <v>533</v>
      </c>
      <c r="E15" t="str">
        <f>"C-"&amp;G15&amp;"x"&amp;H15&amp;"x"&amp;J15&amp;"x"&amp;I15</f>
        <v>C-75x40x3.8x6.1</v>
      </c>
      <c r="F15" s="15">
        <v>5.92</v>
      </c>
      <c r="G15" s="16">
        <v>75</v>
      </c>
      <c r="H15" s="16">
        <v>40</v>
      </c>
      <c r="I15" s="15">
        <v>6.1</v>
      </c>
      <c r="J15" s="15">
        <v>3.8</v>
      </c>
      <c r="N15" t="str">
        <f>"C-"&amp;P15&amp;"x"&amp;Q15&amp;"x"&amp;S15&amp;"x"&amp;R15</f>
        <v>C-75x40x4x6</v>
      </c>
      <c r="O15" s="25">
        <f t="shared" si="0"/>
        <v>5.6677</v>
      </c>
      <c r="P15" s="16">
        <v>75</v>
      </c>
      <c r="Q15" s="16">
        <v>40</v>
      </c>
      <c r="R15" s="6" cm="1">
        <f t="array" ref="R15">IF(I15-LOOKUP(I15, $Y$4:$Y$26) &lt;= 0.1, LOOKUP(I15, $Y$4:$Y$26), MIN(_xlfn._xlws.FILTER($Y$4:$Y$26, $Y$4:$Y$26&gt;=I15)))</f>
        <v>6</v>
      </c>
      <c r="S15" s="6" cm="1">
        <f t="array" ref="S15">IF(J15-LOOKUP(J15, $Y$4:$Y$26) &lt;= 0.1, LOOKUP(J15, $Y$4:$Y$26), MIN(_xlfn._xlws.FILTER($Y$4:$Y$26, $Y$4:$Y$26&gt;=J15)))</f>
        <v>4</v>
      </c>
      <c r="Y15">
        <v>25</v>
      </c>
    </row>
    <row r="16" spans="1:25" x14ac:dyDescent="0.25">
      <c r="Y16">
        <v>28</v>
      </c>
    </row>
    <row r="17" spans="25:25" x14ac:dyDescent="0.25">
      <c r="Y17">
        <v>30</v>
      </c>
    </row>
    <row r="18" spans="25:25" x14ac:dyDescent="0.25">
      <c r="Y18">
        <v>32</v>
      </c>
    </row>
    <row r="19" spans="25:25" x14ac:dyDescent="0.25">
      <c r="Y19">
        <v>35</v>
      </c>
    </row>
    <row r="20" spans="25:25" x14ac:dyDescent="0.25">
      <c r="Y20">
        <v>40</v>
      </c>
    </row>
    <row r="21" spans="25:25" x14ac:dyDescent="0.25">
      <c r="Y21">
        <v>45</v>
      </c>
    </row>
    <row r="22" spans="25:25" x14ac:dyDescent="0.25">
      <c r="Y22">
        <v>50</v>
      </c>
    </row>
    <row r="23" spans="25:25" x14ac:dyDescent="0.25">
      <c r="Y23">
        <v>60</v>
      </c>
    </row>
    <row r="24" spans="25:25" x14ac:dyDescent="0.25">
      <c r="Y24">
        <v>70</v>
      </c>
    </row>
    <row r="25" spans="25:25" x14ac:dyDescent="0.25">
      <c r="Y25">
        <v>80</v>
      </c>
    </row>
    <row r="26" spans="25:25" x14ac:dyDescent="0.25">
      <c r="Y26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250D-0B6A-4600-9333-CBEBB1DFDE16}">
  <dimension ref="A1:C223"/>
  <sheetViews>
    <sheetView tabSelected="1" zoomScaleNormal="100" workbookViewId="0">
      <selection activeCell="K10" sqref="K10"/>
    </sheetView>
  </sheetViews>
  <sheetFormatPr defaultRowHeight="15" x14ac:dyDescent="0.25"/>
  <cols>
    <col min="1" max="1" width="35.8984375" style="28" customWidth="1"/>
    <col min="2" max="2" width="8.796875" style="28"/>
    <col min="3" max="3" width="15.296875" style="28" customWidth="1"/>
    <col min="4" max="16384" width="8.796875" style="28"/>
  </cols>
  <sheetData>
    <row r="1" spans="1:3" ht="15.6" x14ac:dyDescent="0.3">
      <c r="A1" s="27" t="s">
        <v>565</v>
      </c>
      <c r="B1" s="27" t="s">
        <v>76</v>
      </c>
      <c r="C1" s="27" t="s">
        <v>566</v>
      </c>
    </row>
    <row r="2" spans="1:3" x14ac:dyDescent="0.25">
      <c r="A2" s="35" t="s">
        <v>890</v>
      </c>
      <c r="B2" s="36">
        <v>6.72</v>
      </c>
      <c r="C2" s="31" t="s">
        <v>567</v>
      </c>
    </row>
    <row r="3" spans="1:3" x14ac:dyDescent="0.25">
      <c r="A3" s="35" t="s">
        <v>891</v>
      </c>
      <c r="B3" s="36">
        <v>8.36</v>
      </c>
      <c r="C3" s="31" t="s">
        <v>567</v>
      </c>
    </row>
    <row r="4" spans="1:3" x14ac:dyDescent="0.25">
      <c r="A4" s="35" t="s">
        <v>892</v>
      </c>
      <c r="B4" s="36">
        <v>14</v>
      </c>
      <c r="C4" s="31" t="s">
        <v>567</v>
      </c>
    </row>
    <row r="5" spans="1:3" x14ac:dyDescent="0.25">
      <c r="A5" s="35" t="s">
        <v>893</v>
      </c>
      <c r="B5" s="36">
        <v>14</v>
      </c>
      <c r="C5" s="31" t="s">
        <v>567</v>
      </c>
    </row>
    <row r="6" spans="1:3" x14ac:dyDescent="0.25">
      <c r="A6" s="35" t="s">
        <v>894</v>
      </c>
      <c r="B6" s="36">
        <v>18.2</v>
      </c>
      <c r="C6" s="31" t="s">
        <v>567</v>
      </c>
    </row>
    <row r="7" spans="1:3" x14ac:dyDescent="0.25">
      <c r="A7" s="35" t="s">
        <v>895</v>
      </c>
      <c r="B7" s="36">
        <v>18.2</v>
      </c>
      <c r="C7" s="31" t="s">
        <v>567</v>
      </c>
    </row>
    <row r="8" spans="1:3" x14ac:dyDescent="0.25">
      <c r="A8" s="35" t="s">
        <v>896</v>
      </c>
      <c r="B8" s="36">
        <v>21.3</v>
      </c>
      <c r="C8" s="31" t="s">
        <v>567</v>
      </c>
    </row>
    <row r="9" spans="1:3" x14ac:dyDescent="0.25">
      <c r="A9" s="35" t="s">
        <v>896</v>
      </c>
      <c r="B9" s="36">
        <v>21.3</v>
      </c>
      <c r="C9" s="31" t="s">
        <v>567</v>
      </c>
    </row>
    <row r="10" spans="1:3" x14ac:dyDescent="0.25">
      <c r="A10" s="35" t="s">
        <v>897</v>
      </c>
      <c r="B10" s="36">
        <v>25.7</v>
      </c>
      <c r="C10" s="31" t="s">
        <v>567</v>
      </c>
    </row>
    <row r="11" spans="1:3" x14ac:dyDescent="0.25">
      <c r="A11" s="35" t="s">
        <v>897</v>
      </c>
      <c r="B11" s="36">
        <v>25.7</v>
      </c>
      <c r="C11" s="31" t="s">
        <v>567</v>
      </c>
    </row>
    <row r="12" spans="1:3" x14ac:dyDescent="0.25">
      <c r="A12" s="35" t="s">
        <v>898</v>
      </c>
      <c r="B12" s="36">
        <v>29.6</v>
      </c>
      <c r="C12" s="31" t="s">
        <v>567</v>
      </c>
    </row>
    <row r="13" spans="1:3" x14ac:dyDescent="0.25">
      <c r="A13" s="35" t="s">
        <v>899</v>
      </c>
      <c r="B13" s="36">
        <v>32</v>
      </c>
      <c r="C13" s="31" t="s">
        <v>567</v>
      </c>
    </row>
    <row r="14" spans="1:3" x14ac:dyDescent="0.25">
      <c r="A14" s="35" t="s">
        <v>900</v>
      </c>
      <c r="B14" s="36">
        <v>36.700000000000003</v>
      </c>
      <c r="C14" s="31" t="s">
        <v>567</v>
      </c>
    </row>
    <row r="15" spans="1:3" x14ac:dyDescent="0.25">
      <c r="A15" s="35" t="s">
        <v>901</v>
      </c>
      <c r="B15" s="36">
        <v>41.4</v>
      </c>
      <c r="C15" s="31" t="s">
        <v>567</v>
      </c>
    </row>
    <row r="16" spans="1:3" x14ac:dyDescent="0.25">
      <c r="A16" s="35" t="s">
        <v>902</v>
      </c>
      <c r="B16" s="36">
        <v>49.6</v>
      </c>
      <c r="C16" s="31" t="s">
        <v>567</v>
      </c>
    </row>
    <row r="17" spans="1:3" x14ac:dyDescent="0.25">
      <c r="A17" s="35" t="s">
        <v>903</v>
      </c>
      <c r="B17" s="36">
        <v>56.6</v>
      </c>
      <c r="C17" s="31" t="s">
        <v>567</v>
      </c>
    </row>
    <row r="18" spans="1:3" x14ac:dyDescent="0.25">
      <c r="A18" s="35" t="s">
        <v>904</v>
      </c>
      <c r="B18" s="36">
        <v>66</v>
      </c>
      <c r="C18" s="31" t="s">
        <v>567</v>
      </c>
    </row>
    <row r="19" spans="1:3" x14ac:dyDescent="0.25">
      <c r="A19" s="35" t="s">
        <v>905</v>
      </c>
      <c r="B19" s="36">
        <v>66.2</v>
      </c>
      <c r="C19" s="31" t="s">
        <v>567</v>
      </c>
    </row>
    <row r="20" spans="1:3" x14ac:dyDescent="0.25">
      <c r="A20" s="35" t="s">
        <v>906</v>
      </c>
      <c r="B20" s="36">
        <v>76</v>
      </c>
      <c r="C20" s="31" t="s">
        <v>567</v>
      </c>
    </row>
    <row r="21" spans="1:3" x14ac:dyDescent="0.25">
      <c r="A21" s="35" t="s">
        <v>907</v>
      </c>
      <c r="B21" s="36">
        <v>128</v>
      </c>
      <c r="C21" s="31" t="s">
        <v>567</v>
      </c>
    </row>
    <row r="22" spans="1:3" x14ac:dyDescent="0.25">
      <c r="A22" s="35" t="s">
        <v>908</v>
      </c>
      <c r="B22" s="36">
        <v>79.5</v>
      </c>
      <c r="C22" s="31" t="s">
        <v>567</v>
      </c>
    </row>
    <row r="23" spans="1:3" x14ac:dyDescent="0.25">
      <c r="A23" s="35" t="s">
        <v>909</v>
      </c>
      <c r="B23" s="36">
        <v>89.6</v>
      </c>
      <c r="C23" s="31" t="s">
        <v>567</v>
      </c>
    </row>
    <row r="24" spans="1:3" x14ac:dyDescent="0.25">
      <c r="A24" s="35" t="s">
        <v>910</v>
      </c>
      <c r="B24" s="36">
        <v>137</v>
      </c>
      <c r="C24" s="31" t="s">
        <v>567</v>
      </c>
    </row>
    <row r="25" spans="1:3" x14ac:dyDescent="0.25">
      <c r="A25" s="35" t="s">
        <v>911</v>
      </c>
      <c r="B25" s="36">
        <v>151</v>
      </c>
      <c r="C25" s="31" t="s">
        <v>567</v>
      </c>
    </row>
    <row r="26" spans="1:3" x14ac:dyDescent="0.25">
      <c r="A26" s="35" t="s">
        <v>912</v>
      </c>
      <c r="B26" s="36">
        <v>94.6</v>
      </c>
      <c r="C26" s="31" t="s">
        <v>567</v>
      </c>
    </row>
    <row r="27" spans="1:3" x14ac:dyDescent="0.25">
      <c r="A27" s="35" t="s">
        <v>913</v>
      </c>
      <c r="B27" s="36">
        <v>106</v>
      </c>
      <c r="C27" s="31" t="s">
        <v>567</v>
      </c>
    </row>
    <row r="28" spans="1:3" x14ac:dyDescent="0.25">
      <c r="A28" s="35" t="s">
        <v>914</v>
      </c>
      <c r="B28" s="36">
        <v>163</v>
      </c>
      <c r="C28" s="31" t="s">
        <v>567</v>
      </c>
    </row>
    <row r="29" spans="1:3" x14ac:dyDescent="0.25">
      <c r="A29" s="35" t="s">
        <v>915</v>
      </c>
      <c r="B29" s="36">
        <v>185</v>
      </c>
      <c r="C29" s="31" t="s">
        <v>567</v>
      </c>
    </row>
    <row r="30" spans="1:3" x14ac:dyDescent="0.25">
      <c r="A30" s="35" t="s">
        <v>916</v>
      </c>
      <c r="B30" s="36">
        <v>210</v>
      </c>
      <c r="C30" s="31" t="s">
        <v>567</v>
      </c>
    </row>
    <row r="31" spans="1:3" ht="15.6" thickBot="1" x14ac:dyDescent="0.3">
      <c r="A31" s="37" t="s">
        <v>917</v>
      </c>
      <c r="B31" s="38">
        <v>240</v>
      </c>
      <c r="C31" s="31" t="s">
        <v>567</v>
      </c>
    </row>
    <row r="32" spans="1:3" ht="15.6" thickTop="1" x14ac:dyDescent="0.25">
      <c r="A32" s="39" t="s">
        <v>918</v>
      </c>
      <c r="B32" s="40">
        <v>10.02</v>
      </c>
      <c r="C32" s="31" t="s">
        <v>567</v>
      </c>
    </row>
    <row r="33" spans="1:3" x14ac:dyDescent="0.25">
      <c r="A33" s="39" t="s">
        <v>919</v>
      </c>
      <c r="B33" s="40">
        <v>13.02</v>
      </c>
      <c r="C33" s="31" t="s">
        <v>567</v>
      </c>
    </row>
    <row r="34" spans="1:3" x14ac:dyDescent="0.25">
      <c r="A34" s="39" t="s">
        <v>920</v>
      </c>
      <c r="B34" s="40">
        <v>14.52</v>
      </c>
      <c r="C34" s="31" t="s">
        <v>567</v>
      </c>
    </row>
    <row r="35" spans="1:3" x14ac:dyDescent="0.25">
      <c r="A35" s="39" t="s">
        <v>921</v>
      </c>
      <c r="B35" s="40">
        <v>18.36</v>
      </c>
      <c r="C35" s="31" t="s">
        <v>567</v>
      </c>
    </row>
    <row r="36" spans="1:3" x14ac:dyDescent="0.25">
      <c r="A36" s="39" t="s">
        <v>922</v>
      </c>
      <c r="B36" s="40">
        <v>20.58</v>
      </c>
      <c r="C36" s="31" t="s">
        <v>567</v>
      </c>
    </row>
    <row r="37" spans="1:3" x14ac:dyDescent="0.25">
      <c r="A37" s="41" t="s">
        <v>923</v>
      </c>
      <c r="B37" s="42">
        <v>22.62</v>
      </c>
      <c r="C37" s="31" t="s">
        <v>567</v>
      </c>
    </row>
    <row r="38" spans="1:3" x14ac:dyDescent="0.25">
      <c r="A38" s="39" t="s">
        <v>924</v>
      </c>
      <c r="B38" s="40">
        <v>23.82</v>
      </c>
      <c r="C38" s="31" t="s">
        <v>567</v>
      </c>
    </row>
    <row r="39" spans="1:3" x14ac:dyDescent="0.25">
      <c r="A39" s="39" t="s">
        <v>925</v>
      </c>
      <c r="B39" s="40">
        <v>26.58</v>
      </c>
      <c r="C39" s="31" t="s">
        <v>567</v>
      </c>
    </row>
    <row r="40" spans="1:3" x14ac:dyDescent="0.25">
      <c r="A40" s="39" t="s">
        <v>926</v>
      </c>
      <c r="B40" s="40">
        <v>28.92</v>
      </c>
      <c r="C40" s="31" t="s">
        <v>567</v>
      </c>
    </row>
    <row r="41" spans="1:3" x14ac:dyDescent="0.25">
      <c r="A41" s="39" t="s">
        <v>927</v>
      </c>
      <c r="B41" s="40">
        <v>34.32</v>
      </c>
      <c r="C41" s="31" t="s">
        <v>567</v>
      </c>
    </row>
    <row r="42" spans="1:3" x14ac:dyDescent="0.25">
      <c r="A42" s="39" t="s">
        <v>928</v>
      </c>
      <c r="B42" s="40">
        <v>33</v>
      </c>
      <c r="C42" s="31" t="s">
        <v>567</v>
      </c>
    </row>
    <row r="43" spans="1:3" x14ac:dyDescent="0.25">
      <c r="A43" s="39" t="s">
        <v>929</v>
      </c>
      <c r="B43" s="40">
        <v>22.2</v>
      </c>
      <c r="C43" s="31" t="s">
        <v>567</v>
      </c>
    </row>
    <row r="44" spans="1:3" x14ac:dyDescent="0.25">
      <c r="A44" s="39" t="s">
        <v>930</v>
      </c>
      <c r="B44" s="40">
        <v>27.3</v>
      </c>
      <c r="C44" s="31" t="s">
        <v>567</v>
      </c>
    </row>
    <row r="45" spans="1:3" x14ac:dyDescent="0.25">
      <c r="A45" s="39" t="s">
        <v>931</v>
      </c>
      <c r="B45" s="40">
        <v>32.28</v>
      </c>
      <c r="C45" s="31" t="s">
        <v>567</v>
      </c>
    </row>
    <row r="46" spans="1:3" x14ac:dyDescent="0.25">
      <c r="A46" s="39" t="s">
        <v>932</v>
      </c>
      <c r="B46" s="40">
        <v>35.46</v>
      </c>
      <c r="C46" s="31" t="s">
        <v>567</v>
      </c>
    </row>
    <row r="47" spans="1:3" x14ac:dyDescent="0.25">
      <c r="A47" s="39" t="s">
        <v>933</v>
      </c>
      <c r="B47" s="40">
        <v>29.82</v>
      </c>
      <c r="C47" s="31" t="s">
        <v>567</v>
      </c>
    </row>
    <row r="48" spans="1:3" x14ac:dyDescent="0.25">
      <c r="A48" s="39" t="s">
        <v>934</v>
      </c>
      <c r="B48" s="40">
        <v>32.22</v>
      </c>
      <c r="C48" s="31" t="s">
        <v>567</v>
      </c>
    </row>
    <row r="49" spans="1:3" x14ac:dyDescent="0.25">
      <c r="A49" s="39" t="s">
        <v>935</v>
      </c>
      <c r="B49" s="40">
        <v>35.520000000000003</v>
      </c>
      <c r="C49" s="31" t="s">
        <v>567</v>
      </c>
    </row>
    <row r="50" spans="1:3" x14ac:dyDescent="0.25">
      <c r="A50" s="39" t="s">
        <v>936</v>
      </c>
      <c r="B50" s="40">
        <v>34.86</v>
      </c>
      <c r="C50" s="31" t="s">
        <v>567</v>
      </c>
    </row>
    <row r="51" spans="1:3" x14ac:dyDescent="0.25">
      <c r="A51" s="39" t="s">
        <v>937</v>
      </c>
      <c r="B51" s="40">
        <v>38.28</v>
      </c>
      <c r="C51" s="31" t="s">
        <v>567</v>
      </c>
    </row>
    <row r="52" spans="1:3" x14ac:dyDescent="0.25">
      <c r="A52" s="39" t="s">
        <v>938</v>
      </c>
      <c r="B52" s="40">
        <v>76.56</v>
      </c>
      <c r="C52" s="31" t="s">
        <v>567</v>
      </c>
    </row>
    <row r="53" spans="1:3" x14ac:dyDescent="0.25">
      <c r="A53" s="39" t="s">
        <v>939</v>
      </c>
      <c r="B53" s="40">
        <v>40.799999999999997</v>
      </c>
      <c r="C53" s="31" t="s">
        <v>567</v>
      </c>
    </row>
    <row r="54" spans="1:3" x14ac:dyDescent="0.25">
      <c r="A54" s="39" t="s">
        <v>939</v>
      </c>
      <c r="B54" s="40">
        <v>81.599999999999994</v>
      </c>
      <c r="C54" s="31" t="s">
        <v>567</v>
      </c>
    </row>
    <row r="55" spans="1:3" x14ac:dyDescent="0.25">
      <c r="A55" s="39" t="s">
        <v>940</v>
      </c>
      <c r="B55" s="40">
        <v>44.28</v>
      </c>
      <c r="C55" s="31" t="s">
        <v>567</v>
      </c>
    </row>
    <row r="56" spans="1:3" x14ac:dyDescent="0.25">
      <c r="A56" s="39" t="s">
        <v>941</v>
      </c>
      <c r="B56" s="40">
        <v>88.56</v>
      </c>
      <c r="C56" s="31" t="s">
        <v>567</v>
      </c>
    </row>
    <row r="57" spans="1:3" x14ac:dyDescent="0.25">
      <c r="A57" s="39" t="s">
        <v>546</v>
      </c>
      <c r="B57" s="40">
        <v>34.92</v>
      </c>
      <c r="C57" s="31" t="s">
        <v>567</v>
      </c>
    </row>
    <row r="58" spans="1:3" x14ac:dyDescent="0.25">
      <c r="A58" s="39" t="s">
        <v>547</v>
      </c>
      <c r="B58" s="40">
        <v>31.32</v>
      </c>
      <c r="C58" s="31" t="s">
        <v>567</v>
      </c>
    </row>
    <row r="59" spans="1:3" x14ac:dyDescent="0.25">
      <c r="A59" s="39" t="s">
        <v>548</v>
      </c>
      <c r="B59" s="40">
        <v>37.5</v>
      </c>
      <c r="C59" s="31" t="s">
        <v>567</v>
      </c>
    </row>
    <row r="60" spans="1:3" x14ac:dyDescent="0.25">
      <c r="A60" s="39" t="s">
        <v>549</v>
      </c>
      <c r="B60" s="40">
        <v>75</v>
      </c>
      <c r="C60" s="31" t="s">
        <v>567</v>
      </c>
    </row>
    <row r="61" spans="1:3" x14ac:dyDescent="0.25">
      <c r="A61" s="39" t="s">
        <v>550</v>
      </c>
      <c r="B61" s="40">
        <v>40.68</v>
      </c>
      <c r="C61" s="31" t="s">
        <v>567</v>
      </c>
    </row>
    <row r="62" spans="1:3" x14ac:dyDescent="0.25">
      <c r="A62" s="39" t="s">
        <v>551</v>
      </c>
      <c r="B62" s="40">
        <v>81.36</v>
      </c>
      <c r="C62" s="31" t="s">
        <v>567</v>
      </c>
    </row>
    <row r="63" spans="1:3" x14ac:dyDescent="0.25">
      <c r="A63" s="39" t="s">
        <v>552</v>
      </c>
      <c r="B63" s="40">
        <v>41.1</v>
      </c>
      <c r="C63" s="31" t="s">
        <v>567</v>
      </c>
    </row>
    <row r="64" spans="1:3" x14ac:dyDescent="0.25">
      <c r="A64" s="39" t="s">
        <v>553</v>
      </c>
      <c r="B64" s="40">
        <v>82.2</v>
      </c>
      <c r="C64" s="31" t="s">
        <v>567</v>
      </c>
    </row>
    <row r="65" spans="1:3" x14ac:dyDescent="0.25">
      <c r="A65" s="39" t="s">
        <v>554</v>
      </c>
      <c r="B65" s="40">
        <v>43.8</v>
      </c>
      <c r="C65" s="31" t="s">
        <v>567</v>
      </c>
    </row>
    <row r="66" spans="1:3" x14ac:dyDescent="0.25">
      <c r="A66" s="39" t="s">
        <v>555</v>
      </c>
      <c r="B66" s="40">
        <v>87.6</v>
      </c>
      <c r="C66" s="31" t="s">
        <v>567</v>
      </c>
    </row>
    <row r="67" spans="1:3" x14ac:dyDescent="0.25">
      <c r="A67" s="39" t="s">
        <v>556</v>
      </c>
      <c r="B67" s="40">
        <v>46.86</v>
      </c>
      <c r="C67" s="31" t="s">
        <v>567</v>
      </c>
    </row>
    <row r="68" spans="1:3" x14ac:dyDescent="0.25">
      <c r="A68" s="39" t="s">
        <v>557</v>
      </c>
      <c r="B68" s="40">
        <v>47.4</v>
      </c>
      <c r="C68" s="31" t="s">
        <v>567</v>
      </c>
    </row>
    <row r="69" spans="1:3" x14ac:dyDescent="0.25">
      <c r="A69" s="39" t="s">
        <v>558</v>
      </c>
      <c r="B69" s="40">
        <v>93.72</v>
      </c>
      <c r="C69" s="31" t="s">
        <v>567</v>
      </c>
    </row>
    <row r="70" spans="1:3" x14ac:dyDescent="0.25">
      <c r="A70" s="39" t="s">
        <v>559</v>
      </c>
      <c r="B70" s="40">
        <v>53.52</v>
      </c>
      <c r="C70" s="31" t="s">
        <v>567</v>
      </c>
    </row>
    <row r="71" spans="1:3" x14ac:dyDescent="0.25">
      <c r="A71" s="39" t="s">
        <v>560</v>
      </c>
      <c r="B71" s="40">
        <v>107.04</v>
      </c>
      <c r="C71" s="31" t="s">
        <v>567</v>
      </c>
    </row>
    <row r="72" spans="1:3" x14ac:dyDescent="0.25">
      <c r="A72" s="39" t="s">
        <v>561</v>
      </c>
      <c r="B72" s="40">
        <v>59.76</v>
      </c>
      <c r="C72" s="31" t="s">
        <v>567</v>
      </c>
    </row>
    <row r="73" spans="1:3" x14ac:dyDescent="0.25">
      <c r="A73" s="39" t="s">
        <v>562</v>
      </c>
      <c r="B73" s="40">
        <v>119.52</v>
      </c>
      <c r="C73" s="31" t="s">
        <v>567</v>
      </c>
    </row>
    <row r="74" spans="1:3" x14ac:dyDescent="0.25">
      <c r="A74" s="39" t="s">
        <v>563</v>
      </c>
      <c r="B74" s="40">
        <v>60.36</v>
      </c>
      <c r="C74" s="31" t="s">
        <v>567</v>
      </c>
    </row>
    <row r="75" spans="1:3" x14ac:dyDescent="0.25">
      <c r="A75" s="39" t="s">
        <v>564</v>
      </c>
      <c r="B75" s="40">
        <v>120.72</v>
      </c>
      <c r="C75" s="31" t="s">
        <v>567</v>
      </c>
    </row>
    <row r="76" spans="1:3" x14ac:dyDescent="0.25">
      <c r="A76" s="39" t="s">
        <v>942</v>
      </c>
      <c r="B76" s="40">
        <v>120.36</v>
      </c>
      <c r="C76" s="31" t="s">
        <v>567</v>
      </c>
    </row>
    <row r="77" spans="1:3" x14ac:dyDescent="0.25">
      <c r="A77" s="39" t="s">
        <v>943</v>
      </c>
      <c r="B77" s="40">
        <v>43.92</v>
      </c>
      <c r="C77" s="31" t="s">
        <v>567</v>
      </c>
    </row>
    <row r="78" spans="1:3" x14ac:dyDescent="0.25">
      <c r="A78" s="39" t="s">
        <v>944</v>
      </c>
      <c r="B78" s="40">
        <v>87.84</v>
      </c>
      <c r="C78" s="31" t="s">
        <v>567</v>
      </c>
    </row>
    <row r="79" spans="1:3" x14ac:dyDescent="0.25">
      <c r="A79" s="39" t="s">
        <v>945</v>
      </c>
      <c r="B79" s="40">
        <v>44.22</v>
      </c>
      <c r="C79" s="31" t="s">
        <v>567</v>
      </c>
    </row>
    <row r="80" spans="1:3" x14ac:dyDescent="0.25">
      <c r="A80" s="39" t="s">
        <v>946</v>
      </c>
      <c r="B80" s="40">
        <v>88.44</v>
      </c>
      <c r="C80" s="31" t="s">
        <v>567</v>
      </c>
    </row>
    <row r="81" spans="1:3" x14ac:dyDescent="0.25">
      <c r="A81" s="39" t="s">
        <v>947</v>
      </c>
      <c r="B81" s="40">
        <v>50.94</v>
      </c>
      <c r="C81" s="31" t="s">
        <v>567</v>
      </c>
    </row>
    <row r="82" spans="1:3" x14ac:dyDescent="0.25">
      <c r="A82" s="39" t="s">
        <v>948</v>
      </c>
      <c r="B82" s="40">
        <v>101.88</v>
      </c>
      <c r="C82" s="31" t="s">
        <v>567</v>
      </c>
    </row>
    <row r="83" spans="1:3" x14ac:dyDescent="0.25">
      <c r="A83" s="39" t="s">
        <v>949</v>
      </c>
      <c r="B83" s="40">
        <v>52.5</v>
      </c>
      <c r="C83" s="31" t="s">
        <v>567</v>
      </c>
    </row>
    <row r="84" spans="1:3" x14ac:dyDescent="0.25">
      <c r="A84" s="39" t="s">
        <v>950</v>
      </c>
      <c r="B84" s="40">
        <v>105</v>
      </c>
      <c r="C84" s="31" t="s">
        <v>567</v>
      </c>
    </row>
    <row r="85" spans="1:3" x14ac:dyDescent="0.25">
      <c r="A85" s="39" t="s">
        <v>951</v>
      </c>
      <c r="B85" s="40">
        <v>57.96</v>
      </c>
      <c r="C85" s="31" t="s">
        <v>567</v>
      </c>
    </row>
    <row r="86" spans="1:3" x14ac:dyDescent="0.25">
      <c r="A86" s="39" t="s">
        <v>952</v>
      </c>
      <c r="B86" s="40">
        <v>115.92</v>
      </c>
      <c r="C86" s="31" t="s">
        <v>567</v>
      </c>
    </row>
    <row r="87" spans="1:3" x14ac:dyDescent="0.25">
      <c r="A87" s="39" t="s">
        <v>953</v>
      </c>
      <c r="B87" s="40">
        <v>49.5</v>
      </c>
      <c r="C87" s="31" t="s">
        <v>567</v>
      </c>
    </row>
    <row r="88" spans="1:3" x14ac:dyDescent="0.25">
      <c r="A88" s="39" t="s">
        <v>954</v>
      </c>
      <c r="B88" s="40">
        <v>99</v>
      </c>
      <c r="C88" s="31" t="s">
        <v>567</v>
      </c>
    </row>
    <row r="89" spans="1:3" x14ac:dyDescent="0.25">
      <c r="A89" s="39" t="s">
        <v>955</v>
      </c>
      <c r="B89" s="40">
        <v>57.54</v>
      </c>
      <c r="C89" s="31" t="s">
        <v>567</v>
      </c>
    </row>
    <row r="90" spans="1:3" x14ac:dyDescent="0.25">
      <c r="A90" s="39" t="s">
        <v>956</v>
      </c>
      <c r="B90" s="40">
        <v>115.08</v>
      </c>
      <c r="C90" s="31" t="s">
        <v>567</v>
      </c>
    </row>
    <row r="91" spans="1:3" x14ac:dyDescent="0.25">
      <c r="A91" s="39" t="s">
        <v>957</v>
      </c>
      <c r="B91" s="40">
        <v>65.64</v>
      </c>
      <c r="C91" s="31" t="s">
        <v>567</v>
      </c>
    </row>
    <row r="92" spans="1:3" x14ac:dyDescent="0.25">
      <c r="A92" s="39" t="s">
        <v>958</v>
      </c>
      <c r="B92" s="40">
        <v>131.28</v>
      </c>
      <c r="C92" s="31" t="s">
        <v>567</v>
      </c>
    </row>
    <row r="93" spans="1:3" x14ac:dyDescent="0.25">
      <c r="A93" s="39" t="s">
        <v>959</v>
      </c>
      <c r="B93" s="40">
        <v>73.44</v>
      </c>
      <c r="C93" s="31" t="s">
        <v>567</v>
      </c>
    </row>
    <row r="94" spans="1:3" x14ac:dyDescent="0.25">
      <c r="A94" s="39" t="s">
        <v>960</v>
      </c>
      <c r="B94" s="40">
        <v>146.88</v>
      </c>
      <c r="C94" s="31" t="s">
        <v>567</v>
      </c>
    </row>
    <row r="95" spans="1:3" x14ac:dyDescent="0.25">
      <c r="A95" s="39" t="s">
        <v>961</v>
      </c>
      <c r="B95" s="40">
        <v>81.12</v>
      </c>
      <c r="C95" s="31" t="s">
        <v>567</v>
      </c>
    </row>
    <row r="96" spans="1:3" x14ac:dyDescent="0.25">
      <c r="A96" s="39" t="s">
        <v>962</v>
      </c>
      <c r="B96" s="40">
        <v>162.24</v>
      </c>
      <c r="C96" s="31" t="s">
        <v>567</v>
      </c>
    </row>
    <row r="97" spans="1:3" x14ac:dyDescent="0.25">
      <c r="A97" s="39" t="s">
        <v>963</v>
      </c>
      <c r="B97" s="40">
        <v>64.98</v>
      </c>
      <c r="C97" s="31" t="s">
        <v>567</v>
      </c>
    </row>
    <row r="98" spans="1:3" x14ac:dyDescent="0.25">
      <c r="A98" s="39" t="s">
        <v>964</v>
      </c>
      <c r="B98" s="40">
        <v>129.96</v>
      </c>
      <c r="C98" s="31" t="s">
        <v>567</v>
      </c>
    </row>
    <row r="99" spans="1:3" x14ac:dyDescent="0.25">
      <c r="A99" s="39" t="s">
        <v>965</v>
      </c>
      <c r="B99" s="40">
        <v>68.94</v>
      </c>
      <c r="C99" s="31" t="s">
        <v>567</v>
      </c>
    </row>
    <row r="100" spans="1:3" x14ac:dyDescent="0.25">
      <c r="A100" s="39" t="s">
        <v>966</v>
      </c>
      <c r="B100" s="40">
        <v>137.88</v>
      </c>
      <c r="C100" s="31" t="s">
        <v>567</v>
      </c>
    </row>
    <row r="101" spans="1:3" x14ac:dyDescent="0.25">
      <c r="A101" s="39" t="s">
        <v>967</v>
      </c>
      <c r="B101" s="40">
        <v>73.680000000000007</v>
      </c>
      <c r="C101" s="31" t="s">
        <v>567</v>
      </c>
    </row>
    <row r="102" spans="1:3" x14ac:dyDescent="0.25">
      <c r="A102" s="39" t="s">
        <v>968</v>
      </c>
      <c r="B102" s="40">
        <v>147.36000000000001</v>
      </c>
      <c r="C102" s="31" t="s">
        <v>567</v>
      </c>
    </row>
    <row r="103" spans="1:3" x14ac:dyDescent="0.25">
      <c r="A103" s="39" t="s">
        <v>969</v>
      </c>
      <c r="B103" s="40">
        <v>73.260000000000005</v>
      </c>
      <c r="C103" s="31" t="s">
        <v>567</v>
      </c>
    </row>
    <row r="104" spans="1:3" x14ac:dyDescent="0.25">
      <c r="A104" s="39" t="s">
        <v>970</v>
      </c>
      <c r="B104" s="40">
        <v>146.52000000000001</v>
      </c>
      <c r="C104" s="31" t="s">
        <v>567</v>
      </c>
    </row>
    <row r="105" spans="1:3" x14ac:dyDescent="0.25">
      <c r="A105" s="39" t="s">
        <v>971</v>
      </c>
      <c r="B105" s="40">
        <v>72.599999999999994</v>
      </c>
      <c r="C105" s="31" t="s">
        <v>567</v>
      </c>
    </row>
    <row r="106" spans="1:3" x14ac:dyDescent="0.25">
      <c r="A106" s="39" t="s">
        <v>972</v>
      </c>
      <c r="B106" s="40">
        <v>145.19999999999999</v>
      </c>
      <c r="C106" s="31" t="s">
        <v>567</v>
      </c>
    </row>
    <row r="107" spans="1:3" x14ac:dyDescent="0.25">
      <c r="A107" s="39" t="s">
        <v>973</v>
      </c>
      <c r="B107" s="40">
        <v>81</v>
      </c>
      <c r="C107" s="31" t="s">
        <v>567</v>
      </c>
    </row>
    <row r="108" spans="1:3" x14ac:dyDescent="0.25">
      <c r="A108" s="39" t="s">
        <v>974</v>
      </c>
      <c r="B108" s="40">
        <v>162</v>
      </c>
      <c r="C108" s="31" t="s">
        <v>567</v>
      </c>
    </row>
    <row r="109" spans="1:3" x14ac:dyDescent="0.25">
      <c r="A109" s="39" t="s">
        <v>975</v>
      </c>
      <c r="B109" s="40">
        <v>91.2</v>
      </c>
      <c r="C109" s="31" t="s">
        <v>567</v>
      </c>
    </row>
    <row r="110" spans="1:3" x14ac:dyDescent="0.25">
      <c r="A110" s="39" t="s">
        <v>976</v>
      </c>
      <c r="B110" s="40">
        <v>182.4</v>
      </c>
      <c r="C110" s="31" t="s">
        <v>567</v>
      </c>
    </row>
    <row r="111" spans="1:3" x14ac:dyDescent="0.25">
      <c r="A111" s="39" t="s">
        <v>977</v>
      </c>
      <c r="B111" s="40">
        <v>90.72</v>
      </c>
      <c r="C111" s="31" t="s">
        <v>567</v>
      </c>
    </row>
    <row r="112" spans="1:3" x14ac:dyDescent="0.25">
      <c r="A112" s="39" t="s">
        <v>978</v>
      </c>
      <c r="B112" s="40">
        <v>181.44</v>
      </c>
      <c r="C112" s="31" t="s">
        <v>567</v>
      </c>
    </row>
    <row r="113" spans="1:3" x14ac:dyDescent="0.25">
      <c r="A113" s="39" t="s">
        <v>979</v>
      </c>
      <c r="B113" s="40">
        <v>71.58</v>
      </c>
      <c r="C113" s="31" t="s">
        <v>567</v>
      </c>
    </row>
    <row r="114" spans="1:3" x14ac:dyDescent="0.25">
      <c r="A114" s="39" t="s">
        <v>980</v>
      </c>
      <c r="B114" s="40">
        <v>143.16</v>
      </c>
      <c r="C114" s="31" t="s">
        <v>567</v>
      </c>
    </row>
    <row r="115" spans="1:3" x14ac:dyDescent="0.25">
      <c r="A115" s="39" t="s">
        <v>981</v>
      </c>
      <c r="B115" s="40">
        <v>88.2</v>
      </c>
      <c r="C115" s="31" t="s">
        <v>567</v>
      </c>
    </row>
    <row r="116" spans="1:3" x14ac:dyDescent="0.25">
      <c r="A116" s="39" t="s">
        <v>982</v>
      </c>
      <c r="B116" s="40">
        <v>176.4</v>
      </c>
      <c r="C116" s="31" t="s">
        <v>567</v>
      </c>
    </row>
    <row r="117" spans="1:3" x14ac:dyDescent="0.25">
      <c r="A117" s="39" t="s">
        <v>983</v>
      </c>
      <c r="B117" s="40">
        <v>109.2</v>
      </c>
      <c r="C117" s="31" t="s">
        <v>567</v>
      </c>
    </row>
    <row r="118" spans="1:3" x14ac:dyDescent="0.25">
      <c r="A118" s="39" t="s">
        <v>984</v>
      </c>
      <c r="B118" s="40">
        <v>218.4</v>
      </c>
      <c r="C118" s="31" t="s">
        <v>567</v>
      </c>
    </row>
    <row r="119" spans="1:3" x14ac:dyDescent="0.25">
      <c r="A119" s="39" t="s">
        <v>985</v>
      </c>
      <c r="B119" s="40">
        <v>129.96</v>
      </c>
      <c r="C119" s="31" t="s">
        <v>567</v>
      </c>
    </row>
    <row r="120" spans="1:3" x14ac:dyDescent="0.25">
      <c r="A120" s="39" t="s">
        <v>986</v>
      </c>
      <c r="B120" s="40">
        <v>259.92</v>
      </c>
      <c r="C120" s="31" t="s">
        <v>567</v>
      </c>
    </row>
    <row r="121" spans="1:3" x14ac:dyDescent="0.25">
      <c r="A121" s="39" t="s">
        <v>987</v>
      </c>
      <c r="B121" s="40">
        <v>114.78</v>
      </c>
      <c r="C121" s="31" t="s">
        <v>567</v>
      </c>
    </row>
    <row r="122" spans="1:3" x14ac:dyDescent="0.25">
      <c r="A122" s="39" t="s">
        <v>988</v>
      </c>
      <c r="B122" s="40">
        <v>229.56</v>
      </c>
      <c r="C122" s="31" t="s">
        <v>567</v>
      </c>
    </row>
    <row r="123" spans="1:3" x14ac:dyDescent="0.25">
      <c r="A123" s="39" t="s">
        <v>989</v>
      </c>
      <c r="B123" s="40">
        <v>136.19999999999999</v>
      </c>
      <c r="C123" s="31" t="s">
        <v>567</v>
      </c>
    </row>
    <row r="124" spans="1:3" x14ac:dyDescent="0.25">
      <c r="A124" s="39" t="s">
        <v>990</v>
      </c>
      <c r="B124" s="40">
        <v>272.39999999999998</v>
      </c>
      <c r="C124" s="31" t="s">
        <v>567</v>
      </c>
    </row>
    <row r="125" spans="1:3" x14ac:dyDescent="0.25">
      <c r="A125" s="39" t="s">
        <v>991</v>
      </c>
      <c r="B125" s="40">
        <v>118.8</v>
      </c>
      <c r="C125" s="31" t="s">
        <v>567</v>
      </c>
    </row>
    <row r="126" spans="1:3" x14ac:dyDescent="0.25">
      <c r="A126" s="39" t="s">
        <v>992</v>
      </c>
      <c r="B126" s="40">
        <v>237.6</v>
      </c>
      <c r="C126" s="31" t="s">
        <v>567</v>
      </c>
    </row>
    <row r="127" spans="1:3" x14ac:dyDescent="0.25">
      <c r="A127" s="39" t="s">
        <v>993</v>
      </c>
      <c r="B127" s="40">
        <v>140.4</v>
      </c>
      <c r="C127" s="31" t="s">
        <v>567</v>
      </c>
    </row>
    <row r="128" spans="1:3" x14ac:dyDescent="0.25">
      <c r="A128" s="39" t="s">
        <v>994</v>
      </c>
      <c r="B128" s="40">
        <v>280.8</v>
      </c>
      <c r="C128" s="31" t="s">
        <v>567</v>
      </c>
    </row>
    <row r="129" spans="1:3" x14ac:dyDescent="0.25">
      <c r="A129" s="39" t="s">
        <v>995</v>
      </c>
      <c r="B129" s="40">
        <v>172.8</v>
      </c>
      <c r="C129" s="31" t="s">
        <v>567</v>
      </c>
    </row>
    <row r="130" spans="1:3" x14ac:dyDescent="0.25">
      <c r="A130" s="39" t="s">
        <v>996</v>
      </c>
      <c r="B130" s="40">
        <v>345.6</v>
      </c>
      <c r="C130" s="31" t="s">
        <v>567</v>
      </c>
    </row>
    <row r="131" spans="1:3" x14ac:dyDescent="0.25">
      <c r="A131" s="39" t="s">
        <v>997</v>
      </c>
      <c r="B131" s="40">
        <v>12</v>
      </c>
      <c r="C131" s="31" t="s">
        <v>567</v>
      </c>
    </row>
    <row r="132" spans="1:3" x14ac:dyDescent="0.25">
      <c r="A132" s="39" t="s">
        <v>998</v>
      </c>
      <c r="B132" s="40">
        <v>163.80000000000001</v>
      </c>
      <c r="C132" s="31" t="s">
        <v>567</v>
      </c>
    </row>
    <row r="133" spans="1:3" x14ac:dyDescent="0.25">
      <c r="A133" s="39" t="s">
        <v>999</v>
      </c>
      <c r="B133" s="40">
        <v>327.60000000000002</v>
      </c>
      <c r="C133" s="31" t="s">
        <v>567</v>
      </c>
    </row>
    <row r="134" spans="1:3" x14ac:dyDescent="0.25">
      <c r="A134" s="39" t="s">
        <v>1000</v>
      </c>
      <c r="B134" s="40">
        <v>137.4</v>
      </c>
      <c r="C134" s="31" t="s">
        <v>567</v>
      </c>
    </row>
    <row r="135" spans="1:3" x14ac:dyDescent="0.25">
      <c r="A135" s="39" t="s">
        <v>1001</v>
      </c>
      <c r="B135" s="40">
        <v>274.8</v>
      </c>
      <c r="C135" s="31" t="s">
        <v>567</v>
      </c>
    </row>
    <row r="136" spans="1:3" x14ac:dyDescent="0.25">
      <c r="A136" s="39" t="s">
        <v>1002</v>
      </c>
      <c r="B136" s="40">
        <v>201.6</v>
      </c>
      <c r="C136" s="31" t="s">
        <v>567</v>
      </c>
    </row>
    <row r="137" spans="1:3" x14ac:dyDescent="0.25">
      <c r="A137" s="39" t="s">
        <v>1003</v>
      </c>
      <c r="B137" s="40">
        <v>403.2</v>
      </c>
      <c r="C137" s="31" t="s">
        <v>567</v>
      </c>
    </row>
    <row r="138" spans="1:3" x14ac:dyDescent="0.25">
      <c r="A138" s="39" t="s">
        <v>1004</v>
      </c>
      <c r="B138" s="40">
        <v>190.8</v>
      </c>
      <c r="C138" s="31" t="s">
        <v>567</v>
      </c>
    </row>
    <row r="139" spans="1:3" x14ac:dyDescent="0.25">
      <c r="A139" s="39" t="s">
        <v>1005</v>
      </c>
      <c r="B139" s="40">
        <v>381.6</v>
      </c>
      <c r="C139" s="31" t="s">
        <v>567</v>
      </c>
    </row>
    <row r="140" spans="1:3" x14ac:dyDescent="0.25">
      <c r="A140" s="39" t="s">
        <v>1006</v>
      </c>
      <c r="B140" s="40">
        <v>236.4</v>
      </c>
      <c r="C140" s="31" t="s">
        <v>567</v>
      </c>
    </row>
    <row r="141" spans="1:3" x14ac:dyDescent="0.25">
      <c r="A141" s="39" t="s">
        <v>1007</v>
      </c>
      <c r="B141" s="40">
        <v>472.8</v>
      </c>
      <c r="C141" s="31" t="s">
        <v>567</v>
      </c>
    </row>
    <row r="142" spans="1:3" x14ac:dyDescent="0.25">
      <c r="A142" s="39" t="s">
        <v>1008</v>
      </c>
      <c r="B142" s="40">
        <v>273.60000000000002</v>
      </c>
      <c r="C142" s="31" t="s">
        <v>567</v>
      </c>
    </row>
    <row r="143" spans="1:3" x14ac:dyDescent="0.25">
      <c r="A143" s="39" t="s">
        <v>1009</v>
      </c>
      <c r="B143" s="40">
        <v>547.20000000000005</v>
      </c>
      <c r="C143" s="31" t="s">
        <v>567</v>
      </c>
    </row>
    <row r="144" spans="1:3" x14ac:dyDescent="0.25">
      <c r="A144" s="39" t="s">
        <v>1010</v>
      </c>
      <c r="B144" s="40">
        <v>363.6</v>
      </c>
      <c r="C144" s="31" t="s">
        <v>567</v>
      </c>
    </row>
    <row r="145" spans="1:3" x14ac:dyDescent="0.25">
      <c r="A145" s="39" t="s">
        <v>1011</v>
      </c>
      <c r="B145" s="40">
        <v>727.2</v>
      </c>
      <c r="C145" s="31" t="s">
        <v>567</v>
      </c>
    </row>
    <row r="146" spans="1:3" x14ac:dyDescent="0.25">
      <c r="A146" s="43" t="s">
        <v>1012</v>
      </c>
      <c r="B146" s="44">
        <v>13.98</v>
      </c>
      <c r="C146" s="31" t="s">
        <v>567</v>
      </c>
    </row>
    <row r="147" spans="1:3" x14ac:dyDescent="0.25">
      <c r="A147" s="43" t="s">
        <v>1013</v>
      </c>
      <c r="B147" s="44">
        <v>16.98</v>
      </c>
      <c r="C147" s="31" t="s">
        <v>567</v>
      </c>
    </row>
    <row r="148" spans="1:3" x14ac:dyDescent="0.25">
      <c r="A148" s="43" t="s">
        <v>1014</v>
      </c>
      <c r="B148" s="44">
        <v>31.8</v>
      </c>
      <c r="C148" s="31" t="s">
        <v>567</v>
      </c>
    </row>
    <row r="149" spans="1:3" x14ac:dyDescent="0.25">
      <c r="A149" s="43" t="s">
        <v>1015</v>
      </c>
      <c r="B149" s="44">
        <v>21.48</v>
      </c>
      <c r="C149" s="31" t="s">
        <v>567</v>
      </c>
    </row>
    <row r="150" spans="1:3" x14ac:dyDescent="0.25">
      <c r="A150" s="43" t="s">
        <v>1016</v>
      </c>
      <c r="B150" s="44">
        <v>36</v>
      </c>
      <c r="C150" s="31" t="s">
        <v>567</v>
      </c>
    </row>
    <row r="151" spans="1:3" x14ac:dyDescent="0.25">
      <c r="A151" s="43" t="s">
        <v>1017</v>
      </c>
      <c r="B151" s="44">
        <v>30.48</v>
      </c>
      <c r="C151" s="31" t="s">
        <v>567</v>
      </c>
    </row>
    <row r="152" spans="1:3" x14ac:dyDescent="0.25">
      <c r="A152" s="43" t="s">
        <v>1018</v>
      </c>
      <c r="B152" s="44">
        <v>42</v>
      </c>
      <c r="C152" s="31" t="s">
        <v>567</v>
      </c>
    </row>
    <row r="153" spans="1:3" x14ac:dyDescent="0.25">
      <c r="A153" s="43" t="s">
        <v>1019</v>
      </c>
      <c r="B153" s="44">
        <v>30.96</v>
      </c>
      <c r="C153" s="31" t="s">
        <v>567</v>
      </c>
    </row>
    <row r="154" spans="1:3" x14ac:dyDescent="0.25">
      <c r="A154" s="43" t="s">
        <v>1020</v>
      </c>
      <c r="B154" s="44">
        <v>31.02</v>
      </c>
      <c r="C154" s="31" t="s">
        <v>567</v>
      </c>
    </row>
    <row r="155" spans="1:3" x14ac:dyDescent="0.25">
      <c r="A155" s="43" t="s">
        <v>1021</v>
      </c>
      <c r="B155" s="44">
        <v>45</v>
      </c>
      <c r="C155" s="31" t="s">
        <v>567</v>
      </c>
    </row>
    <row r="156" spans="1:3" x14ac:dyDescent="0.25">
      <c r="A156" s="43" t="s">
        <v>1022</v>
      </c>
      <c r="B156" s="44">
        <v>90</v>
      </c>
      <c r="C156" s="31" t="s">
        <v>567</v>
      </c>
    </row>
    <row r="157" spans="1:3" x14ac:dyDescent="0.25">
      <c r="A157" s="43" t="s">
        <v>1023</v>
      </c>
      <c r="B157" s="44">
        <v>45</v>
      </c>
      <c r="C157" s="31" t="s">
        <v>567</v>
      </c>
    </row>
    <row r="158" spans="1:3" x14ac:dyDescent="0.25">
      <c r="A158" s="43" t="s">
        <v>1024</v>
      </c>
      <c r="B158" s="44">
        <v>43.02</v>
      </c>
      <c r="C158" s="31" t="s">
        <v>567</v>
      </c>
    </row>
    <row r="159" spans="1:3" x14ac:dyDescent="0.25">
      <c r="A159" s="43" t="s">
        <v>1025</v>
      </c>
      <c r="B159" s="44">
        <v>56.16</v>
      </c>
      <c r="C159" s="31" t="s">
        <v>567</v>
      </c>
    </row>
    <row r="160" spans="1:3" x14ac:dyDescent="0.25">
      <c r="A160" s="43" t="s">
        <v>1026</v>
      </c>
      <c r="B160" s="44">
        <v>112.32</v>
      </c>
      <c r="C160" s="31" t="s">
        <v>567</v>
      </c>
    </row>
    <row r="161" spans="1:3" x14ac:dyDescent="0.25">
      <c r="A161" s="43" t="s">
        <v>1027</v>
      </c>
      <c r="B161" s="44">
        <v>56.4</v>
      </c>
      <c r="C161" s="31" t="s">
        <v>567</v>
      </c>
    </row>
    <row r="162" spans="1:3" x14ac:dyDescent="0.25">
      <c r="A162" s="43" t="s">
        <v>1028</v>
      </c>
      <c r="B162" s="44">
        <v>112.8</v>
      </c>
      <c r="C162" s="31" t="s">
        <v>567</v>
      </c>
    </row>
    <row r="163" spans="1:3" x14ac:dyDescent="0.25">
      <c r="A163" s="43" t="s">
        <v>1029</v>
      </c>
      <c r="B163" s="44">
        <v>43.8</v>
      </c>
      <c r="C163" s="31" t="s">
        <v>567</v>
      </c>
    </row>
    <row r="164" spans="1:3" x14ac:dyDescent="0.25">
      <c r="A164" s="43" t="s">
        <v>1029</v>
      </c>
      <c r="B164" s="44">
        <v>87.6</v>
      </c>
      <c r="C164" s="31" t="s">
        <v>567</v>
      </c>
    </row>
    <row r="165" spans="1:3" x14ac:dyDescent="0.25">
      <c r="A165" s="43" t="s">
        <v>1030</v>
      </c>
      <c r="B165" s="44">
        <v>96</v>
      </c>
      <c r="C165" s="31" t="s">
        <v>567</v>
      </c>
    </row>
    <row r="166" spans="1:3" x14ac:dyDescent="0.25">
      <c r="A166" s="43" t="s">
        <v>1031</v>
      </c>
      <c r="B166" s="44">
        <v>48</v>
      </c>
      <c r="C166" s="31" t="s">
        <v>567</v>
      </c>
    </row>
    <row r="167" spans="1:3" x14ac:dyDescent="0.25">
      <c r="A167" s="43" t="s">
        <v>1032</v>
      </c>
      <c r="B167" s="44">
        <v>40.98</v>
      </c>
      <c r="C167" s="31" t="s">
        <v>567</v>
      </c>
    </row>
    <row r="168" spans="1:3" x14ac:dyDescent="0.25">
      <c r="A168" s="43" t="s">
        <v>1033</v>
      </c>
      <c r="B168" s="44">
        <v>41.52</v>
      </c>
      <c r="C168" s="31" t="s">
        <v>567</v>
      </c>
    </row>
    <row r="169" spans="1:3" x14ac:dyDescent="0.25">
      <c r="A169" s="43" t="s">
        <v>1034</v>
      </c>
      <c r="B169" s="44">
        <v>55.8</v>
      </c>
      <c r="C169" s="31" t="s">
        <v>567</v>
      </c>
    </row>
    <row r="170" spans="1:3" x14ac:dyDescent="0.25">
      <c r="A170" s="43" t="s">
        <v>1035</v>
      </c>
      <c r="B170" s="44">
        <v>111.6</v>
      </c>
      <c r="C170" s="31" t="s">
        <v>567</v>
      </c>
    </row>
    <row r="171" spans="1:3" x14ac:dyDescent="0.25">
      <c r="A171" s="43" t="s">
        <v>1036</v>
      </c>
      <c r="B171" s="44">
        <v>52.8</v>
      </c>
      <c r="C171" s="31" t="s">
        <v>567</v>
      </c>
    </row>
    <row r="172" spans="1:3" x14ac:dyDescent="0.25">
      <c r="A172" s="43" t="s">
        <v>1037</v>
      </c>
      <c r="B172" s="44">
        <v>51</v>
      </c>
      <c r="C172" s="31" t="s">
        <v>567</v>
      </c>
    </row>
    <row r="173" spans="1:3" x14ac:dyDescent="0.25">
      <c r="A173" s="43" t="s">
        <v>1038</v>
      </c>
      <c r="B173" s="44">
        <v>60</v>
      </c>
      <c r="C173" s="31" t="s">
        <v>567</v>
      </c>
    </row>
    <row r="174" spans="1:3" x14ac:dyDescent="0.25">
      <c r="A174" s="43" t="s">
        <v>1039</v>
      </c>
      <c r="B174" s="44">
        <v>120</v>
      </c>
      <c r="C174" s="31" t="s">
        <v>567</v>
      </c>
    </row>
    <row r="175" spans="1:3" x14ac:dyDescent="0.25">
      <c r="A175" s="43" t="s">
        <v>1040</v>
      </c>
      <c r="B175" s="44">
        <v>80.400000000000006</v>
      </c>
      <c r="C175" s="31" t="s">
        <v>567</v>
      </c>
    </row>
    <row r="176" spans="1:3" x14ac:dyDescent="0.25">
      <c r="A176" s="43" t="s">
        <v>1041</v>
      </c>
      <c r="B176" s="44">
        <v>160.80000000000001</v>
      </c>
      <c r="C176" s="31" t="s">
        <v>567</v>
      </c>
    </row>
    <row r="177" spans="1:3" x14ac:dyDescent="0.25">
      <c r="A177" s="43" t="s">
        <v>1042</v>
      </c>
      <c r="B177" s="44">
        <v>54</v>
      </c>
      <c r="C177" s="31" t="s">
        <v>567</v>
      </c>
    </row>
    <row r="178" spans="1:3" x14ac:dyDescent="0.25">
      <c r="A178" s="43" t="s">
        <v>1043</v>
      </c>
      <c r="B178" s="44">
        <v>72</v>
      </c>
      <c r="C178" s="31" t="s">
        <v>567</v>
      </c>
    </row>
    <row r="179" spans="1:3" x14ac:dyDescent="0.25">
      <c r="A179" s="39" t="s">
        <v>1044</v>
      </c>
      <c r="B179" s="40">
        <v>108</v>
      </c>
      <c r="C179" s="31" t="s">
        <v>567</v>
      </c>
    </row>
    <row r="180" spans="1:3" x14ac:dyDescent="0.25">
      <c r="A180" s="39" t="s">
        <v>1045</v>
      </c>
      <c r="B180" s="40">
        <v>74.58</v>
      </c>
      <c r="C180" s="31" t="s">
        <v>567</v>
      </c>
    </row>
    <row r="181" spans="1:3" x14ac:dyDescent="0.25">
      <c r="A181" s="39" t="s">
        <v>1046</v>
      </c>
      <c r="B181" s="40">
        <v>149.16</v>
      </c>
      <c r="C181" s="31" t="s">
        <v>567</v>
      </c>
    </row>
    <row r="182" spans="1:3" x14ac:dyDescent="0.25">
      <c r="A182" s="39" t="s">
        <v>1047</v>
      </c>
      <c r="B182" s="40">
        <v>111.6</v>
      </c>
      <c r="C182" s="31" t="s">
        <v>567</v>
      </c>
    </row>
    <row r="183" spans="1:3" x14ac:dyDescent="0.25">
      <c r="A183" s="39" t="s">
        <v>1048</v>
      </c>
      <c r="B183" s="40">
        <v>223.2</v>
      </c>
      <c r="C183" s="31" t="s">
        <v>567</v>
      </c>
    </row>
    <row r="184" spans="1:3" x14ac:dyDescent="0.25">
      <c r="A184" s="39" t="s">
        <v>1049</v>
      </c>
      <c r="B184" s="40">
        <v>75</v>
      </c>
      <c r="C184" s="31" t="s">
        <v>567</v>
      </c>
    </row>
    <row r="185" spans="1:3" x14ac:dyDescent="0.25">
      <c r="A185" s="39" t="s">
        <v>1050</v>
      </c>
      <c r="B185" s="40">
        <v>150</v>
      </c>
      <c r="C185" s="31" t="s">
        <v>567</v>
      </c>
    </row>
    <row r="186" spans="1:3" x14ac:dyDescent="0.25">
      <c r="A186" s="39" t="s">
        <v>1051</v>
      </c>
      <c r="B186" s="40">
        <v>85.2</v>
      </c>
      <c r="C186" s="31" t="s">
        <v>567</v>
      </c>
    </row>
    <row r="187" spans="1:3" x14ac:dyDescent="0.25">
      <c r="A187" s="39" t="s">
        <v>1052</v>
      </c>
      <c r="B187" s="40">
        <v>82.8</v>
      </c>
      <c r="C187" s="31" t="s">
        <v>567</v>
      </c>
    </row>
    <row r="188" spans="1:3" x14ac:dyDescent="0.25">
      <c r="A188" s="39" t="s">
        <v>1053</v>
      </c>
      <c r="B188" s="40">
        <v>165.6</v>
      </c>
      <c r="C188" s="31" t="s">
        <v>567</v>
      </c>
    </row>
    <row r="189" spans="1:3" x14ac:dyDescent="0.25">
      <c r="A189" s="39" t="s">
        <v>1054</v>
      </c>
      <c r="B189" s="40">
        <v>90</v>
      </c>
      <c r="C189" s="31" t="s">
        <v>567</v>
      </c>
    </row>
    <row r="190" spans="1:3" x14ac:dyDescent="0.25">
      <c r="A190" s="39" t="s">
        <v>1055</v>
      </c>
      <c r="B190" s="40">
        <v>180</v>
      </c>
      <c r="C190" s="31" t="s">
        <v>567</v>
      </c>
    </row>
    <row r="191" spans="1:3" x14ac:dyDescent="0.25">
      <c r="A191" s="39" t="s">
        <v>1056</v>
      </c>
      <c r="B191" s="40">
        <v>105</v>
      </c>
      <c r="C191" s="31" t="s">
        <v>567</v>
      </c>
    </row>
    <row r="192" spans="1:3" x14ac:dyDescent="0.25">
      <c r="A192" s="39" t="s">
        <v>1057</v>
      </c>
      <c r="B192" s="40">
        <v>210</v>
      </c>
      <c r="C192" s="31" t="s">
        <v>567</v>
      </c>
    </row>
    <row r="193" spans="1:3" x14ac:dyDescent="0.25">
      <c r="A193" s="39" t="s">
        <v>1058</v>
      </c>
      <c r="B193" s="40">
        <v>102</v>
      </c>
      <c r="C193" s="31" t="s">
        <v>567</v>
      </c>
    </row>
    <row r="194" spans="1:3" x14ac:dyDescent="0.25">
      <c r="A194" s="39" t="s">
        <v>1059</v>
      </c>
      <c r="B194" s="40">
        <v>204</v>
      </c>
      <c r="C194" s="31" t="s">
        <v>567</v>
      </c>
    </row>
    <row r="195" spans="1:3" x14ac:dyDescent="0.25">
      <c r="A195" s="39" t="s">
        <v>1060</v>
      </c>
      <c r="B195" s="40">
        <v>110.4</v>
      </c>
      <c r="C195" s="31" t="s">
        <v>567</v>
      </c>
    </row>
    <row r="196" spans="1:3" x14ac:dyDescent="0.25">
      <c r="A196" s="39" t="s">
        <v>1061</v>
      </c>
      <c r="B196" s="40">
        <v>141</v>
      </c>
      <c r="C196" s="31" t="s">
        <v>567</v>
      </c>
    </row>
    <row r="197" spans="1:3" x14ac:dyDescent="0.25">
      <c r="A197" s="39" t="s">
        <v>1062</v>
      </c>
      <c r="B197" s="40">
        <v>282</v>
      </c>
      <c r="C197" s="31" t="s">
        <v>567</v>
      </c>
    </row>
    <row r="198" spans="1:3" x14ac:dyDescent="0.25">
      <c r="A198" s="39" t="s">
        <v>1063</v>
      </c>
      <c r="B198" s="40">
        <v>147.6</v>
      </c>
      <c r="C198" s="31" t="s">
        <v>567</v>
      </c>
    </row>
    <row r="199" spans="1:3" x14ac:dyDescent="0.25">
      <c r="A199" s="39" t="s">
        <v>1064</v>
      </c>
      <c r="B199" s="40">
        <v>295.2</v>
      </c>
      <c r="C199" s="31" t="s">
        <v>567</v>
      </c>
    </row>
    <row r="200" spans="1:3" x14ac:dyDescent="0.25">
      <c r="A200" s="39" t="s">
        <v>1065</v>
      </c>
      <c r="B200" s="40">
        <v>295.2</v>
      </c>
      <c r="C200" s="31" t="s">
        <v>567</v>
      </c>
    </row>
    <row r="201" spans="1:3" x14ac:dyDescent="0.25">
      <c r="A201" s="39" t="s">
        <v>1066</v>
      </c>
      <c r="B201" s="40">
        <v>147.6</v>
      </c>
      <c r="C201" s="31" t="s">
        <v>567</v>
      </c>
    </row>
    <row r="202" spans="1:3" x14ac:dyDescent="0.25">
      <c r="A202" s="39" t="s">
        <v>1067</v>
      </c>
      <c r="B202" s="40">
        <v>363.6</v>
      </c>
      <c r="C202" s="31" t="s">
        <v>567</v>
      </c>
    </row>
    <row r="203" spans="1:3" x14ac:dyDescent="0.25">
      <c r="A203" s="39" t="s">
        <v>1068</v>
      </c>
      <c r="B203" s="40">
        <v>136.80000000000001</v>
      </c>
      <c r="C203" s="31" t="s">
        <v>567</v>
      </c>
    </row>
    <row r="204" spans="1:3" x14ac:dyDescent="0.25">
      <c r="A204" s="39" t="s">
        <v>1069</v>
      </c>
      <c r="B204" s="40">
        <v>273.60000000000002</v>
      </c>
      <c r="C204" s="31" t="s">
        <v>567</v>
      </c>
    </row>
    <row r="205" spans="1:3" x14ac:dyDescent="0.25">
      <c r="A205" s="39" t="s">
        <v>1070</v>
      </c>
      <c r="B205" s="40">
        <v>141</v>
      </c>
      <c r="C205" s="31" t="s">
        <v>567</v>
      </c>
    </row>
    <row r="206" spans="1:3" x14ac:dyDescent="0.25">
      <c r="A206" s="39" t="s">
        <v>1071</v>
      </c>
      <c r="B206" s="40">
        <v>282</v>
      </c>
      <c r="C206" s="31" t="s">
        <v>567</v>
      </c>
    </row>
    <row r="207" spans="1:3" x14ac:dyDescent="0.25">
      <c r="A207" s="39" t="s">
        <v>1072</v>
      </c>
      <c r="B207" s="40">
        <v>147.6</v>
      </c>
      <c r="C207" s="31" t="s">
        <v>567</v>
      </c>
    </row>
    <row r="208" spans="1:3" x14ac:dyDescent="0.25">
      <c r="A208" s="45" t="s">
        <v>1073</v>
      </c>
      <c r="B208" s="40">
        <v>295.2</v>
      </c>
      <c r="C208" s="31" t="s">
        <v>567</v>
      </c>
    </row>
    <row r="209" spans="1:3" x14ac:dyDescent="0.25">
      <c r="A209" s="39" t="s">
        <v>1074</v>
      </c>
      <c r="B209" s="40">
        <v>207.6</v>
      </c>
      <c r="C209" s="31" t="s">
        <v>567</v>
      </c>
    </row>
    <row r="210" spans="1:3" x14ac:dyDescent="0.25">
      <c r="A210" s="39" t="s">
        <v>1075</v>
      </c>
      <c r="B210" s="40">
        <v>415.2</v>
      </c>
      <c r="C210" s="31" t="s">
        <v>567</v>
      </c>
    </row>
    <row r="211" spans="1:3" x14ac:dyDescent="0.25">
      <c r="A211" s="39" t="s">
        <v>1076</v>
      </c>
      <c r="B211" s="40">
        <v>188.4</v>
      </c>
      <c r="C211" s="31" t="s">
        <v>567</v>
      </c>
    </row>
    <row r="212" spans="1:3" x14ac:dyDescent="0.25">
      <c r="A212" s="45" t="s">
        <v>1077</v>
      </c>
      <c r="B212" s="40">
        <v>376.8</v>
      </c>
      <c r="C212" s="31" t="s">
        <v>567</v>
      </c>
    </row>
    <row r="213" spans="1:3" x14ac:dyDescent="0.25">
      <c r="A213" s="39" t="s">
        <v>1078</v>
      </c>
      <c r="B213" s="40">
        <v>186.12</v>
      </c>
      <c r="C213" s="31" t="s">
        <v>567</v>
      </c>
    </row>
    <row r="214" spans="1:3" x14ac:dyDescent="0.25">
      <c r="A214" s="39" t="s">
        <v>1079</v>
      </c>
      <c r="B214" s="40">
        <v>372.24</v>
      </c>
      <c r="C214" s="31" t="s">
        <v>567</v>
      </c>
    </row>
    <row r="215" spans="1:3" x14ac:dyDescent="0.25">
      <c r="A215" s="39" t="s">
        <v>1080</v>
      </c>
      <c r="B215" s="40">
        <v>235.02</v>
      </c>
      <c r="C215" s="31" t="s">
        <v>567</v>
      </c>
    </row>
    <row r="216" spans="1:3" x14ac:dyDescent="0.25">
      <c r="A216" s="39" t="s">
        <v>1081</v>
      </c>
      <c r="B216" s="40">
        <v>470.04</v>
      </c>
      <c r="C216" s="31" t="s">
        <v>567</v>
      </c>
    </row>
    <row r="217" spans="1:3" x14ac:dyDescent="0.25">
      <c r="A217" s="39" t="s">
        <v>1082</v>
      </c>
      <c r="B217" s="40">
        <v>228.6</v>
      </c>
      <c r="C217" s="31" t="s">
        <v>567</v>
      </c>
    </row>
    <row r="218" spans="1:3" x14ac:dyDescent="0.25">
      <c r="A218" s="39" t="s">
        <v>1083</v>
      </c>
      <c r="B218" s="40">
        <v>457.2</v>
      </c>
      <c r="C218" s="31" t="s">
        <v>567</v>
      </c>
    </row>
    <row r="219" spans="1:3" x14ac:dyDescent="0.25">
      <c r="A219" s="45" t="s">
        <v>1084</v>
      </c>
      <c r="B219" s="40">
        <v>457.2</v>
      </c>
      <c r="C219" s="31" t="s">
        <v>568</v>
      </c>
    </row>
    <row r="220" spans="1:3" x14ac:dyDescent="0.25">
      <c r="A220" s="45" t="s">
        <v>1085</v>
      </c>
      <c r="B220" s="40">
        <v>228.6</v>
      </c>
      <c r="C220" s="31" t="s">
        <v>568</v>
      </c>
    </row>
    <row r="221" spans="1:3" x14ac:dyDescent="0.25">
      <c r="A221" s="45" t="s">
        <v>1086</v>
      </c>
      <c r="B221" s="40">
        <v>327</v>
      </c>
      <c r="C221" s="31" t="s">
        <v>568</v>
      </c>
    </row>
    <row r="222" spans="1:3" x14ac:dyDescent="0.25">
      <c r="A222" s="45" t="s">
        <v>1087</v>
      </c>
      <c r="B222" s="40">
        <v>654</v>
      </c>
      <c r="C222" s="31" t="s">
        <v>568</v>
      </c>
    </row>
    <row r="223" spans="1:3" x14ac:dyDescent="0.25">
      <c r="A223" s="45" t="s">
        <v>1088</v>
      </c>
      <c r="B223" s="40">
        <v>353.58</v>
      </c>
      <c r="C223" s="31" t="s">
        <v>567</v>
      </c>
    </row>
  </sheetData>
  <conditionalFormatting sqref="C2">
    <cfRule type="cellIs" dxfId="1" priority="2" operator="equal">
      <formula>"Có hàng"</formula>
    </cfRule>
  </conditionalFormatting>
  <conditionalFormatting sqref="C3:C223">
    <cfRule type="cellIs" dxfId="0" priority="1" operator="equal">
      <formula>"Có hàng"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2690-BC2F-4419-A8FC-FC05DFDB83A3}">
  <dimension ref="A1:C321"/>
  <sheetViews>
    <sheetView topLeftCell="A94" workbookViewId="0">
      <selection activeCell="A36" sqref="A36"/>
    </sheetView>
  </sheetViews>
  <sheetFormatPr defaultRowHeight="15" x14ac:dyDescent="0.25"/>
  <cols>
    <col min="1" max="1" width="20.8984375" style="34" customWidth="1"/>
    <col min="2" max="2" width="12.19921875" style="47" customWidth="1"/>
    <col min="3" max="3" width="13.59765625" style="28" customWidth="1"/>
    <col min="4" max="16384" width="8.796875" style="28"/>
  </cols>
  <sheetData>
    <row r="1" spans="1:3" ht="15.6" x14ac:dyDescent="0.3">
      <c r="A1" s="32" t="s">
        <v>565</v>
      </c>
      <c r="B1" s="46" t="s">
        <v>76</v>
      </c>
      <c r="C1" s="29" t="s">
        <v>566</v>
      </c>
    </row>
    <row r="2" spans="1:3" x14ac:dyDescent="0.25">
      <c r="A2" s="33" t="s">
        <v>570</v>
      </c>
      <c r="B2" s="30">
        <v>0.72166666666666668</v>
      </c>
      <c r="C2" s="31" t="s">
        <v>567</v>
      </c>
    </row>
    <row r="3" spans="1:3" x14ac:dyDescent="0.25">
      <c r="A3" s="33" t="s">
        <v>571</v>
      </c>
      <c r="B3" s="30">
        <v>0.77333333333333332</v>
      </c>
      <c r="C3" s="31" t="s">
        <v>567</v>
      </c>
    </row>
    <row r="4" spans="1:3" x14ac:dyDescent="0.25">
      <c r="A4" s="33" t="s">
        <v>572</v>
      </c>
      <c r="B4" s="30">
        <v>0.90499999999999992</v>
      </c>
      <c r="C4" s="31" t="s">
        <v>567</v>
      </c>
    </row>
    <row r="5" spans="1:3" x14ac:dyDescent="0.25">
      <c r="A5" s="33" t="s">
        <v>573</v>
      </c>
      <c r="B5" s="30">
        <v>0.98833333333333329</v>
      </c>
      <c r="C5" s="31" t="s">
        <v>567</v>
      </c>
    </row>
    <row r="6" spans="1:3" x14ac:dyDescent="0.25">
      <c r="A6" s="33" t="s">
        <v>574</v>
      </c>
      <c r="B6" s="30">
        <v>1.0716666666666665</v>
      </c>
      <c r="C6" s="31" t="s">
        <v>567</v>
      </c>
    </row>
    <row r="7" spans="1:3" x14ac:dyDescent="0.25">
      <c r="A7" s="33" t="s">
        <v>575</v>
      </c>
      <c r="B7" s="30">
        <v>1.27</v>
      </c>
      <c r="C7" s="31" t="s">
        <v>567</v>
      </c>
    </row>
    <row r="8" spans="1:3" x14ac:dyDescent="0.25">
      <c r="A8" s="33" t="s">
        <v>576</v>
      </c>
      <c r="B8" s="30">
        <v>1.2050000000000001</v>
      </c>
      <c r="C8" s="31" t="s">
        <v>567</v>
      </c>
    </row>
    <row r="9" spans="1:3" x14ac:dyDescent="0.25">
      <c r="A9" s="33" t="s">
        <v>577</v>
      </c>
      <c r="B9" s="30">
        <v>0.9966666666666667</v>
      </c>
      <c r="C9" s="31" t="s">
        <v>567</v>
      </c>
    </row>
    <row r="10" spans="1:3" x14ac:dyDescent="0.25">
      <c r="A10" s="33" t="s">
        <v>578</v>
      </c>
      <c r="B10" s="30">
        <v>1.42</v>
      </c>
      <c r="C10" s="31" t="s">
        <v>567</v>
      </c>
    </row>
    <row r="11" spans="1:3" x14ac:dyDescent="0.25">
      <c r="A11" s="33" t="s">
        <v>579</v>
      </c>
      <c r="B11" s="30">
        <v>0.98833333333333329</v>
      </c>
      <c r="C11" s="31" t="s">
        <v>567</v>
      </c>
    </row>
    <row r="12" spans="1:3" x14ac:dyDescent="0.25">
      <c r="A12" s="33" t="s">
        <v>580</v>
      </c>
      <c r="B12" s="30">
        <v>1.1599999999999999</v>
      </c>
      <c r="C12" s="31" t="s">
        <v>567</v>
      </c>
    </row>
    <row r="13" spans="1:3" x14ac:dyDescent="0.25">
      <c r="A13" s="33" t="s">
        <v>581</v>
      </c>
      <c r="B13" s="30">
        <v>1.2150000000000001</v>
      </c>
      <c r="C13" s="31" t="s">
        <v>567</v>
      </c>
    </row>
    <row r="14" spans="1:3" x14ac:dyDescent="0.25">
      <c r="A14" s="33" t="s">
        <v>582</v>
      </c>
      <c r="B14" s="30">
        <v>1.2716666666666667</v>
      </c>
      <c r="C14" s="31" t="s">
        <v>567</v>
      </c>
    </row>
    <row r="15" spans="1:3" x14ac:dyDescent="0.25">
      <c r="A15" s="33" t="s">
        <v>583</v>
      </c>
      <c r="B15" s="30">
        <v>1.3816666666666666</v>
      </c>
      <c r="C15" s="31" t="s">
        <v>567</v>
      </c>
    </row>
    <row r="16" spans="1:3" x14ac:dyDescent="0.25">
      <c r="A16" s="33" t="s">
        <v>584</v>
      </c>
      <c r="B16" s="30">
        <v>1.69</v>
      </c>
      <c r="C16" s="31" t="s">
        <v>567</v>
      </c>
    </row>
    <row r="17" spans="1:3" x14ac:dyDescent="0.25">
      <c r="A17" s="33" t="s">
        <v>585</v>
      </c>
      <c r="B17" s="30">
        <v>1.5583333333333333</v>
      </c>
      <c r="C17" s="31" t="s">
        <v>567</v>
      </c>
    </row>
    <row r="18" spans="1:3" x14ac:dyDescent="0.25">
      <c r="A18" s="33" t="s">
        <v>586</v>
      </c>
      <c r="B18" s="30">
        <v>2.2583333333333333</v>
      </c>
      <c r="C18" s="31" t="s">
        <v>567</v>
      </c>
    </row>
    <row r="19" spans="1:3" x14ac:dyDescent="0.25">
      <c r="A19" s="33" t="s">
        <v>587</v>
      </c>
      <c r="B19" s="30">
        <v>2.5</v>
      </c>
      <c r="C19" s="31" t="s">
        <v>567</v>
      </c>
    </row>
    <row r="20" spans="1:3" x14ac:dyDescent="0.25">
      <c r="A20" s="33" t="s">
        <v>588</v>
      </c>
      <c r="B20" s="30">
        <v>1.2583333333333333</v>
      </c>
      <c r="C20" s="31" t="s">
        <v>567</v>
      </c>
    </row>
    <row r="21" spans="1:3" x14ac:dyDescent="0.25">
      <c r="A21" s="33" t="s">
        <v>589</v>
      </c>
      <c r="B21" s="30">
        <v>1.4066666666666665</v>
      </c>
      <c r="C21" s="31" t="s">
        <v>567</v>
      </c>
    </row>
    <row r="22" spans="1:3" x14ac:dyDescent="0.25">
      <c r="A22" s="33" t="s">
        <v>590</v>
      </c>
      <c r="B22" s="30">
        <v>1.5533333333333335</v>
      </c>
      <c r="C22" s="31" t="s">
        <v>567</v>
      </c>
    </row>
    <row r="23" spans="1:3" x14ac:dyDescent="0.25">
      <c r="A23" s="33" t="s">
        <v>591</v>
      </c>
      <c r="B23" s="30">
        <v>1.6266666666666667</v>
      </c>
      <c r="C23" s="31" t="s">
        <v>567</v>
      </c>
    </row>
    <row r="24" spans="1:3" x14ac:dyDescent="0.25">
      <c r="A24" s="33" t="s">
        <v>592</v>
      </c>
      <c r="B24" s="30">
        <v>1.7699999999999998</v>
      </c>
      <c r="C24" s="31" t="s">
        <v>567</v>
      </c>
    </row>
    <row r="25" spans="1:3" x14ac:dyDescent="0.25">
      <c r="A25" s="33" t="s">
        <v>593</v>
      </c>
      <c r="B25" s="30">
        <v>1.9816666666666667</v>
      </c>
      <c r="C25" s="31" t="s">
        <v>567</v>
      </c>
    </row>
    <row r="26" spans="1:3" x14ac:dyDescent="0.25">
      <c r="A26" s="33" t="s">
        <v>594</v>
      </c>
      <c r="B26" s="30">
        <v>2.2566666666666664</v>
      </c>
      <c r="C26" s="31" t="s">
        <v>567</v>
      </c>
    </row>
    <row r="27" spans="1:3" x14ac:dyDescent="0.25">
      <c r="A27" s="33" t="s">
        <v>595</v>
      </c>
      <c r="B27" s="30">
        <v>2.415</v>
      </c>
      <c r="C27" s="31" t="s">
        <v>567</v>
      </c>
    </row>
    <row r="28" spans="1:3" x14ac:dyDescent="0.25">
      <c r="A28" s="33" t="s">
        <v>596</v>
      </c>
      <c r="B28" s="30">
        <v>2.6816666666666666</v>
      </c>
      <c r="C28" s="31" t="s">
        <v>567</v>
      </c>
    </row>
    <row r="29" spans="1:3" x14ac:dyDescent="0.25">
      <c r="A29" s="33" t="s">
        <v>597</v>
      </c>
      <c r="B29" s="30">
        <v>2.94</v>
      </c>
      <c r="C29" s="31" t="s">
        <v>567</v>
      </c>
    </row>
    <row r="30" spans="1:3" x14ac:dyDescent="0.25">
      <c r="A30" s="33" t="s">
        <v>598</v>
      </c>
      <c r="B30" s="30">
        <v>1.6016666666666666</v>
      </c>
      <c r="C30" s="31" t="s">
        <v>567</v>
      </c>
    </row>
    <row r="31" spans="1:3" x14ac:dyDescent="0.25">
      <c r="A31" s="33" t="s">
        <v>599</v>
      </c>
      <c r="B31" s="30">
        <v>1.7933333333333332</v>
      </c>
      <c r="C31" s="31" t="s">
        <v>567</v>
      </c>
    </row>
    <row r="32" spans="1:3" x14ac:dyDescent="0.25">
      <c r="A32" s="33" t="s">
        <v>600</v>
      </c>
      <c r="B32" s="30">
        <v>1.9833333333333334</v>
      </c>
      <c r="C32" s="31" t="s">
        <v>567</v>
      </c>
    </row>
    <row r="33" spans="1:3" x14ac:dyDescent="0.25">
      <c r="A33" s="33" t="s">
        <v>601</v>
      </c>
      <c r="B33" s="30">
        <v>2.0766666666666667</v>
      </c>
      <c r="C33" s="31" t="s">
        <v>567</v>
      </c>
    </row>
    <row r="34" spans="1:3" x14ac:dyDescent="0.25">
      <c r="A34" s="33" t="s">
        <v>602</v>
      </c>
      <c r="B34" s="30">
        <v>2.2633333333333332</v>
      </c>
      <c r="C34" s="31" t="s">
        <v>567</v>
      </c>
    </row>
    <row r="35" spans="1:3" x14ac:dyDescent="0.25">
      <c r="A35" s="33" t="s">
        <v>603</v>
      </c>
      <c r="B35" s="30">
        <v>2.5383333333333336</v>
      </c>
      <c r="C35" s="31" t="s">
        <v>567</v>
      </c>
    </row>
    <row r="36" spans="1:3" x14ac:dyDescent="0.25">
      <c r="A36" s="33" t="s">
        <v>604</v>
      </c>
      <c r="B36" s="30">
        <v>3.39</v>
      </c>
      <c r="C36" s="31" t="s">
        <v>567</v>
      </c>
    </row>
    <row r="37" spans="1:3" x14ac:dyDescent="0.25">
      <c r="A37" s="33" t="s">
        <v>605</v>
      </c>
      <c r="B37" s="30">
        <v>2.9216666666666669</v>
      </c>
      <c r="C37" s="31" t="s">
        <v>567</v>
      </c>
    </row>
    <row r="38" spans="1:3" x14ac:dyDescent="0.25">
      <c r="A38" s="33" t="s">
        <v>606</v>
      </c>
      <c r="B38" s="30">
        <v>3.1016666666666666</v>
      </c>
      <c r="C38" s="31" t="s">
        <v>567</v>
      </c>
    </row>
    <row r="39" spans="1:3" x14ac:dyDescent="0.25">
      <c r="A39" s="33" t="s">
        <v>607</v>
      </c>
      <c r="B39" s="30">
        <v>3.7983333333333333</v>
      </c>
      <c r="C39" s="31" t="s">
        <v>567</v>
      </c>
    </row>
    <row r="40" spans="1:3" x14ac:dyDescent="0.25">
      <c r="A40" s="33" t="s">
        <v>608</v>
      </c>
      <c r="B40" s="30">
        <v>1.835</v>
      </c>
      <c r="C40" s="31" t="s">
        <v>567</v>
      </c>
    </row>
    <row r="41" spans="1:3" x14ac:dyDescent="0.25">
      <c r="A41" s="33" t="s">
        <v>609</v>
      </c>
      <c r="B41" s="30">
        <v>2.165</v>
      </c>
      <c r="C41" s="31" t="s">
        <v>567</v>
      </c>
    </row>
    <row r="42" spans="1:3" x14ac:dyDescent="0.25">
      <c r="A42" s="33" t="s">
        <v>610</v>
      </c>
      <c r="B42" s="30">
        <v>2.2733333333333334</v>
      </c>
      <c r="C42" s="31" t="s">
        <v>567</v>
      </c>
    </row>
    <row r="43" spans="1:3" x14ac:dyDescent="0.25">
      <c r="A43" s="33" t="s">
        <v>611</v>
      </c>
      <c r="B43" s="30">
        <v>2.3816666666666664</v>
      </c>
      <c r="C43" s="31" t="s">
        <v>567</v>
      </c>
    </row>
    <row r="44" spans="1:3" x14ac:dyDescent="0.25">
      <c r="A44" s="33" t="s">
        <v>612</v>
      </c>
      <c r="B44" s="30">
        <v>2.5983333333333332</v>
      </c>
      <c r="C44" s="31" t="s">
        <v>567</v>
      </c>
    </row>
    <row r="45" spans="1:3" x14ac:dyDescent="0.25">
      <c r="A45" s="33" t="s">
        <v>613</v>
      </c>
      <c r="B45" s="30">
        <v>2.811666666666667</v>
      </c>
      <c r="C45" s="31" t="s">
        <v>567</v>
      </c>
    </row>
    <row r="46" spans="1:3" x14ac:dyDescent="0.25">
      <c r="A46" s="33" t="s">
        <v>614</v>
      </c>
      <c r="B46" s="30">
        <v>3.3366666666666664</v>
      </c>
      <c r="C46" s="31" t="s">
        <v>567</v>
      </c>
    </row>
    <row r="47" spans="1:3" x14ac:dyDescent="0.25">
      <c r="A47" s="33" t="s">
        <v>615</v>
      </c>
      <c r="B47" s="30">
        <v>4.05</v>
      </c>
      <c r="C47" s="31" t="s">
        <v>567</v>
      </c>
    </row>
    <row r="48" spans="1:3" x14ac:dyDescent="0.25">
      <c r="A48" s="33" t="s">
        <v>616</v>
      </c>
      <c r="B48" s="30">
        <v>3.5666666666666664</v>
      </c>
      <c r="C48" s="31" t="s">
        <v>567</v>
      </c>
    </row>
    <row r="49" spans="1:3" x14ac:dyDescent="0.25">
      <c r="A49" s="33" t="s">
        <v>617</v>
      </c>
      <c r="B49" s="30">
        <v>3.9766666666666666</v>
      </c>
      <c r="C49" s="31" t="s">
        <v>567</v>
      </c>
    </row>
    <row r="50" spans="1:3" x14ac:dyDescent="0.25">
      <c r="A50" s="33" t="s">
        <v>618</v>
      </c>
      <c r="B50" s="30">
        <v>4.38</v>
      </c>
      <c r="C50" s="31" t="s">
        <v>567</v>
      </c>
    </row>
    <row r="51" spans="1:3" x14ac:dyDescent="0.25">
      <c r="A51" s="33" t="s">
        <v>619</v>
      </c>
      <c r="B51" s="30">
        <v>2.5783333333333336</v>
      </c>
      <c r="C51" s="31" t="s">
        <v>567</v>
      </c>
    </row>
    <row r="52" spans="1:3" x14ac:dyDescent="0.25">
      <c r="A52" s="33" t="s">
        <v>620</v>
      </c>
      <c r="B52" s="30">
        <v>2.7183333333333333</v>
      </c>
      <c r="C52" s="31" t="s">
        <v>567</v>
      </c>
    </row>
    <row r="53" spans="1:3" x14ac:dyDescent="0.25">
      <c r="A53" s="33" t="s">
        <v>621</v>
      </c>
      <c r="B53" s="30">
        <v>2.855</v>
      </c>
      <c r="C53" s="31" t="s">
        <v>567</v>
      </c>
    </row>
    <row r="54" spans="1:3" x14ac:dyDescent="0.25">
      <c r="A54" s="33" t="s">
        <v>622</v>
      </c>
      <c r="B54" s="30">
        <v>2.9933333333333336</v>
      </c>
      <c r="C54" s="31" t="s">
        <v>567</v>
      </c>
    </row>
    <row r="55" spans="1:3" x14ac:dyDescent="0.25">
      <c r="A55" s="33" t="s">
        <v>623</v>
      </c>
      <c r="B55" s="30">
        <v>3.2666666666666671</v>
      </c>
      <c r="C55" s="31" t="s">
        <v>567</v>
      </c>
    </row>
    <row r="56" spans="1:3" x14ac:dyDescent="0.25">
      <c r="A56" s="33" t="s">
        <v>624</v>
      </c>
      <c r="B56" s="30">
        <v>3.5383333333333336</v>
      </c>
      <c r="C56" s="31" t="s">
        <v>567</v>
      </c>
    </row>
    <row r="57" spans="1:3" x14ac:dyDescent="0.25">
      <c r="A57" s="33" t="s">
        <v>625</v>
      </c>
      <c r="B57" s="30">
        <v>3.6733333333333333</v>
      </c>
      <c r="C57" s="31" t="s">
        <v>567</v>
      </c>
    </row>
    <row r="58" spans="1:3" x14ac:dyDescent="0.25">
      <c r="A58" s="33" t="s">
        <v>626</v>
      </c>
      <c r="B58" s="30">
        <v>4.21</v>
      </c>
      <c r="C58" s="31" t="s">
        <v>567</v>
      </c>
    </row>
    <row r="59" spans="1:3" x14ac:dyDescent="0.25">
      <c r="A59" s="33" t="s">
        <v>627</v>
      </c>
      <c r="B59" s="30">
        <v>4.4750000000000005</v>
      </c>
      <c r="C59" s="31" t="s">
        <v>567</v>
      </c>
    </row>
    <row r="60" spans="1:3" x14ac:dyDescent="0.25">
      <c r="A60" s="33" t="s">
        <v>628</v>
      </c>
      <c r="B60" s="30">
        <v>5.0333333333333332</v>
      </c>
      <c r="C60" s="31" t="s">
        <v>567</v>
      </c>
    </row>
    <row r="61" spans="1:3" x14ac:dyDescent="0.25">
      <c r="A61" s="33" t="s">
        <v>629</v>
      </c>
      <c r="B61" s="30">
        <v>5.44</v>
      </c>
      <c r="C61" s="31" t="s">
        <v>567</v>
      </c>
    </row>
    <row r="62" spans="1:3" x14ac:dyDescent="0.25">
      <c r="A62" s="33" t="s">
        <v>630</v>
      </c>
      <c r="B62" s="30">
        <v>5.5533333333333337</v>
      </c>
      <c r="C62" s="31" t="s">
        <v>567</v>
      </c>
    </row>
    <row r="63" spans="1:3" x14ac:dyDescent="0.25">
      <c r="A63" s="33" t="s">
        <v>631</v>
      </c>
      <c r="B63" s="30">
        <v>6.1916666666666664</v>
      </c>
      <c r="C63" s="31" t="s">
        <v>567</v>
      </c>
    </row>
    <row r="64" spans="1:3" x14ac:dyDescent="0.25">
      <c r="A64" s="33" t="s">
        <v>632</v>
      </c>
      <c r="B64" s="30">
        <v>6.8183333333333325</v>
      </c>
      <c r="C64" s="31" t="s">
        <v>567</v>
      </c>
    </row>
    <row r="65" spans="1:3" x14ac:dyDescent="0.25">
      <c r="A65" s="33" t="s">
        <v>633</v>
      </c>
      <c r="B65" s="30">
        <v>8.6300000000000008</v>
      </c>
      <c r="C65" s="31" t="s">
        <v>567</v>
      </c>
    </row>
    <row r="66" spans="1:3" x14ac:dyDescent="0.25">
      <c r="A66" s="33" t="s">
        <v>634</v>
      </c>
      <c r="B66" s="30">
        <v>3.4533333333333331</v>
      </c>
      <c r="C66" s="31" t="s">
        <v>567</v>
      </c>
    </row>
    <row r="67" spans="1:3" x14ac:dyDescent="0.25">
      <c r="A67" s="33" t="s">
        <v>635</v>
      </c>
      <c r="B67" s="30">
        <v>4.1566666666666672</v>
      </c>
      <c r="C67" s="31" t="s">
        <v>567</v>
      </c>
    </row>
    <row r="68" spans="1:3" x14ac:dyDescent="0.25">
      <c r="A68" s="33" t="s">
        <v>636</v>
      </c>
      <c r="B68" s="30">
        <v>4.68</v>
      </c>
      <c r="C68" s="31" t="s">
        <v>567</v>
      </c>
    </row>
    <row r="69" spans="1:3" x14ac:dyDescent="0.25">
      <c r="A69" s="33" t="s">
        <v>637</v>
      </c>
      <c r="B69" s="30">
        <v>5.1983333333333333</v>
      </c>
      <c r="C69" s="31" t="s">
        <v>567</v>
      </c>
    </row>
    <row r="70" spans="1:3" x14ac:dyDescent="0.25">
      <c r="A70" s="33" t="s">
        <v>638</v>
      </c>
      <c r="B70" s="30">
        <v>5.7133333333333338</v>
      </c>
      <c r="C70" s="31" t="s">
        <v>567</v>
      </c>
    </row>
    <row r="71" spans="1:3" x14ac:dyDescent="0.25">
      <c r="A71" s="33" t="s">
        <v>639</v>
      </c>
      <c r="B71" s="30">
        <v>6.4266666666666667</v>
      </c>
      <c r="C71" s="31" t="s">
        <v>567</v>
      </c>
    </row>
    <row r="72" spans="1:3" x14ac:dyDescent="0.25">
      <c r="A72" s="33" t="s">
        <v>640</v>
      </c>
      <c r="B72" s="30">
        <v>7.1016666666666666</v>
      </c>
      <c r="C72" s="31" t="s">
        <v>567</v>
      </c>
    </row>
    <row r="73" spans="1:3" x14ac:dyDescent="0.25">
      <c r="A73" s="33" t="s">
        <v>641</v>
      </c>
      <c r="B73" s="30">
        <v>8.7550000000000008</v>
      </c>
      <c r="C73" s="31" t="s">
        <v>567</v>
      </c>
    </row>
    <row r="74" spans="1:3" x14ac:dyDescent="0.25">
      <c r="A74" s="33" t="s">
        <v>642</v>
      </c>
      <c r="B74" s="30">
        <v>4.4633333333333338</v>
      </c>
      <c r="C74" s="31" t="s">
        <v>567</v>
      </c>
    </row>
    <row r="75" spans="1:3" x14ac:dyDescent="0.25">
      <c r="A75" s="33" t="s">
        <v>643</v>
      </c>
      <c r="B75" s="30">
        <v>4.878333333333333</v>
      </c>
      <c r="C75" s="31" t="s">
        <v>567</v>
      </c>
    </row>
    <row r="76" spans="1:3" x14ac:dyDescent="0.25">
      <c r="A76" s="33" t="s">
        <v>644</v>
      </c>
      <c r="B76" s="30">
        <v>5.4950000000000001</v>
      </c>
      <c r="C76" s="31" t="s">
        <v>567</v>
      </c>
    </row>
    <row r="77" spans="1:3" x14ac:dyDescent="0.25">
      <c r="A77" s="33" t="s">
        <v>645</v>
      </c>
      <c r="B77" s="30">
        <v>6.1066666666666665</v>
      </c>
      <c r="C77" s="31" t="s">
        <v>567</v>
      </c>
    </row>
    <row r="78" spans="1:3" x14ac:dyDescent="0.25">
      <c r="A78" s="33" t="s">
        <v>646</v>
      </c>
      <c r="B78" s="30">
        <v>6.7149999999999999</v>
      </c>
      <c r="C78" s="31" t="s">
        <v>567</v>
      </c>
    </row>
    <row r="79" spans="1:3" x14ac:dyDescent="0.25">
      <c r="A79" s="33" t="s">
        <v>647</v>
      </c>
      <c r="B79" s="30">
        <v>7.52</v>
      </c>
      <c r="C79" s="31" t="s">
        <v>567</v>
      </c>
    </row>
    <row r="80" spans="1:3" x14ac:dyDescent="0.25">
      <c r="A80" s="33" t="s">
        <v>648</v>
      </c>
      <c r="B80" s="30">
        <v>8.3650000000000002</v>
      </c>
      <c r="C80" s="31" t="s">
        <v>567</v>
      </c>
    </row>
    <row r="81" spans="1:3" x14ac:dyDescent="0.25">
      <c r="A81" s="33" t="s">
        <v>649</v>
      </c>
      <c r="B81" s="30">
        <v>10.333333333333334</v>
      </c>
      <c r="C81" s="31" t="s">
        <v>567</v>
      </c>
    </row>
    <row r="82" spans="1:3" x14ac:dyDescent="0.25">
      <c r="A82" s="33" t="s">
        <v>650</v>
      </c>
      <c r="B82" s="30">
        <v>11.29</v>
      </c>
      <c r="C82" s="31" t="s">
        <v>567</v>
      </c>
    </row>
    <row r="83" spans="1:3" x14ac:dyDescent="0.25">
      <c r="A83" s="33" t="s">
        <v>651</v>
      </c>
      <c r="B83" s="30">
        <v>7.7650000000000006</v>
      </c>
      <c r="C83" s="31" t="s">
        <v>567</v>
      </c>
    </row>
    <row r="84" spans="1:3" x14ac:dyDescent="0.25">
      <c r="A84" s="33" t="s">
        <v>652</v>
      </c>
      <c r="B84" s="30">
        <v>8.9333333333333336</v>
      </c>
      <c r="C84" s="31" t="s">
        <v>567</v>
      </c>
    </row>
    <row r="85" spans="1:3" x14ac:dyDescent="0.25">
      <c r="A85" s="33" t="s">
        <v>653</v>
      </c>
      <c r="B85" s="30">
        <v>11.231666666666667</v>
      </c>
      <c r="C85" s="31" t="s">
        <v>567</v>
      </c>
    </row>
    <row r="86" spans="1:3" x14ac:dyDescent="0.25">
      <c r="A86" s="33" t="s">
        <v>654</v>
      </c>
      <c r="B86" s="30">
        <v>13.479999999999999</v>
      </c>
      <c r="C86" s="31" t="s">
        <v>567</v>
      </c>
    </row>
    <row r="87" spans="1:3" x14ac:dyDescent="0.25">
      <c r="A87" s="33" t="s">
        <v>655</v>
      </c>
      <c r="B87" s="30">
        <v>13.57</v>
      </c>
      <c r="C87" s="31" t="s">
        <v>567</v>
      </c>
    </row>
    <row r="88" spans="1:3" x14ac:dyDescent="0.25">
      <c r="A88" s="33" t="s">
        <v>656</v>
      </c>
      <c r="B88" s="30">
        <v>5.5</v>
      </c>
      <c r="C88" s="31" t="s">
        <v>567</v>
      </c>
    </row>
    <row r="89" spans="1:3" x14ac:dyDescent="0.25">
      <c r="A89" s="33" t="s">
        <v>657</v>
      </c>
      <c r="B89" s="30">
        <v>7.1099999999999994</v>
      </c>
      <c r="C89" s="31" t="s">
        <v>567</v>
      </c>
    </row>
    <row r="90" spans="1:3" x14ac:dyDescent="0.25">
      <c r="A90" s="33" t="s">
        <v>658</v>
      </c>
      <c r="B90" s="30">
        <v>7.91</v>
      </c>
      <c r="C90" s="31" t="s">
        <v>567</v>
      </c>
    </row>
    <row r="91" spans="1:3" x14ac:dyDescent="0.25">
      <c r="A91" s="33" t="s">
        <v>659</v>
      </c>
      <c r="B91" s="30">
        <v>8.7033333333333331</v>
      </c>
      <c r="C91" s="31" t="s">
        <v>567</v>
      </c>
    </row>
    <row r="92" spans="1:3" x14ac:dyDescent="0.25">
      <c r="A92" s="33" t="s">
        <v>660</v>
      </c>
      <c r="B92" s="30">
        <v>9.7566666666666659</v>
      </c>
      <c r="C92" s="31" t="s">
        <v>567</v>
      </c>
    </row>
    <row r="93" spans="1:3" x14ac:dyDescent="0.25">
      <c r="A93" s="33" t="s">
        <v>661</v>
      </c>
      <c r="B93" s="30">
        <v>10.801666666666668</v>
      </c>
      <c r="C93" s="31" t="s">
        <v>567</v>
      </c>
    </row>
    <row r="94" spans="1:3" x14ac:dyDescent="0.25">
      <c r="A94" s="33" t="s">
        <v>662</v>
      </c>
      <c r="B94" s="30">
        <v>12.161666666666667</v>
      </c>
      <c r="C94" s="31" t="s">
        <v>567</v>
      </c>
    </row>
    <row r="95" spans="1:3" x14ac:dyDescent="0.25">
      <c r="A95" s="33" t="s">
        <v>663</v>
      </c>
      <c r="B95" s="30">
        <v>13.451666666666666</v>
      </c>
      <c r="C95" s="31" t="s">
        <v>567</v>
      </c>
    </row>
    <row r="96" spans="1:3" x14ac:dyDescent="0.25">
      <c r="A96" s="33" t="s">
        <v>664</v>
      </c>
      <c r="B96" s="30">
        <v>14.475</v>
      </c>
      <c r="C96" s="31" t="s">
        <v>567</v>
      </c>
    </row>
    <row r="97" spans="1:3" x14ac:dyDescent="0.25">
      <c r="A97" s="33" t="s">
        <v>665</v>
      </c>
      <c r="B97" s="30">
        <v>16.07</v>
      </c>
      <c r="C97" s="31" t="s">
        <v>567</v>
      </c>
    </row>
    <row r="98" spans="1:3" x14ac:dyDescent="0.25">
      <c r="A98" s="33" t="s">
        <v>666</v>
      </c>
      <c r="B98" s="30">
        <v>16.608333333333334</v>
      </c>
      <c r="C98" s="31" t="s">
        <v>567</v>
      </c>
    </row>
    <row r="99" spans="1:3" x14ac:dyDescent="0.25">
      <c r="A99" s="33" t="s">
        <v>667</v>
      </c>
      <c r="B99" s="30">
        <v>17.883333333333333</v>
      </c>
      <c r="C99" s="31" t="s">
        <v>567</v>
      </c>
    </row>
    <row r="100" spans="1:3" x14ac:dyDescent="0.25">
      <c r="A100" s="33" t="s">
        <v>668</v>
      </c>
      <c r="B100" s="30">
        <v>13.41</v>
      </c>
      <c r="C100" s="31" t="s">
        <v>567</v>
      </c>
    </row>
    <row r="101" spans="1:3" x14ac:dyDescent="0.25">
      <c r="A101" s="33" t="s">
        <v>669</v>
      </c>
      <c r="B101" s="30">
        <v>16.09</v>
      </c>
      <c r="C101" s="31" t="s">
        <v>567</v>
      </c>
    </row>
    <row r="102" spans="1:3" x14ac:dyDescent="0.25">
      <c r="A102" s="33" t="s">
        <v>670</v>
      </c>
      <c r="B102" s="30">
        <v>17.32</v>
      </c>
      <c r="C102" s="31" t="s">
        <v>567</v>
      </c>
    </row>
    <row r="103" spans="1:3" x14ac:dyDescent="0.25">
      <c r="A103" s="33" t="s">
        <v>671</v>
      </c>
      <c r="B103" s="30">
        <v>21.77</v>
      </c>
      <c r="C103" s="31" t="s">
        <v>567</v>
      </c>
    </row>
    <row r="104" spans="1:3" x14ac:dyDescent="0.25">
      <c r="A104" s="33" t="s">
        <v>672</v>
      </c>
      <c r="B104" s="30">
        <v>23.53</v>
      </c>
      <c r="C104" s="31" t="s">
        <v>567</v>
      </c>
    </row>
    <row r="105" spans="1:3" x14ac:dyDescent="0.25">
      <c r="A105" s="33" t="s">
        <v>673</v>
      </c>
      <c r="B105" s="30">
        <v>19.739999999999998</v>
      </c>
      <c r="C105" s="31" t="s">
        <v>567</v>
      </c>
    </row>
    <row r="106" spans="1:3" x14ac:dyDescent="0.25">
      <c r="A106" s="33" t="s">
        <v>674</v>
      </c>
      <c r="B106" s="30">
        <v>21.266666666666666</v>
      </c>
      <c r="C106" s="31" t="s">
        <v>567</v>
      </c>
    </row>
    <row r="107" spans="1:3" x14ac:dyDescent="0.25">
      <c r="A107" s="33" t="s">
        <v>675</v>
      </c>
      <c r="B107" s="30">
        <v>16.05</v>
      </c>
      <c r="C107" s="31" t="s">
        <v>567</v>
      </c>
    </row>
    <row r="108" spans="1:3" x14ac:dyDescent="0.25">
      <c r="A108" s="33" t="s">
        <v>676</v>
      </c>
      <c r="B108" s="30">
        <v>19.27</v>
      </c>
      <c r="C108" s="31" t="s">
        <v>567</v>
      </c>
    </row>
    <row r="109" spans="1:3" x14ac:dyDescent="0.25">
      <c r="A109" s="33" t="s">
        <v>677</v>
      </c>
      <c r="B109" s="30">
        <v>20.76</v>
      </c>
      <c r="C109" s="31" t="s">
        <v>567</v>
      </c>
    </row>
    <row r="110" spans="1:3" x14ac:dyDescent="0.25">
      <c r="A110" s="33" t="s">
        <v>678</v>
      </c>
      <c r="B110" s="30">
        <v>22.31</v>
      </c>
      <c r="C110" s="31" t="s">
        <v>567</v>
      </c>
    </row>
    <row r="111" spans="1:3" x14ac:dyDescent="0.25">
      <c r="A111" s="33" t="s">
        <v>679</v>
      </c>
      <c r="B111" s="30">
        <v>25.36</v>
      </c>
      <c r="C111" s="31" t="s">
        <v>567</v>
      </c>
    </row>
    <row r="112" spans="1:3" x14ac:dyDescent="0.25">
      <c r="A112" s="33" t="s">
        <v>680</v>
      </c>
      <c r="B112" s="30">
        <v>28.26</v>
      </c>
      <c r="C112" s="31" t="s">
        <v>567</v>
      </c>
    </row>
    <row r="113" spans="1:3" x14ac:dyDescent="0.25">
      <c r="A113" s="33" t="s">
        <v>681</v>
      </c>
      <c r="B113" s="30">
        <v>21.01</v>
      </c>
      <c r="C113" s="31" t="s">
        <v>567</v>
      </c>
    </row>
    <row r="114" spans="1:3" x14ac:dyDescent="0.25">
      <c r="A114" s="33" t="s">
        <v>682</v>
      </c>
      <c r="B114" s="30">
        <v>25.26</v>
      </c>
      <c r="C114" s="31" t="s">
        <v>567</v>
      </c>
    </row>
    <row r="115" spans="1:3" x14ac:dyDescent="0.25">
      <c r="A115" s="33" t="s">
        <v>683</v>
      </c>
      <c r="B115" s="30">
        <v>27.22</v>
      </c>
      <c r="C115" s="31" t="s">
        <v>567</v>
      </c>
    </row>
    <row r="116" spans="1:3" x14ac:dyDescent="0.25">
      <c r="A116" s="33" t="s">
        <v>684</v>
      </c>
      <c r="B116" s="30">
        <v>29.28</v>
      </c>
      <c r="C116" s="31" t="s">
        <v>567</v>
      </c>
    </row>
    <row r="117" spans="1:3" x14ac:dyDescent="0.25">
      <c r="A117" s="33" t="s">
        <v>685</v>
      </c>
      <c r="B117" s="30">
        <v>33.31</v>
      </c>
      <c r="C117" s="31" t="s">
        <v>567</v>
      </c>
    </row>
    <row r="118" spans="1:3" x14ac:dyDescent="0.25">
      <c r="A118" s="33" t="s">
        <v>686</v>
      </c>
      <c r="B118" s="30">
        <v>37.17</v>
      </c>
      <c r="C118" s="31" t="s">
        <v>567</v>
      </c>
    </row>
    <row r="119" spans="1:3" x14ac:dyDescent="0.25">
      <c r="A119" s="33" t="s">
        <v>687</v>
      </c>
      <c r="B119" s="30">
        <v>42.55</v>
      </c>
      <c r="C119" s="31" t="s">
        <v>567</v>
      </c>
    </row>
    <row r="120" spans="1:3" x14ac:dyDescent="0.25">
      <c r="A120" s="33" t="s">
        <v>688</v>
      </c>
      <c r="B120" s="30">
        <v>0.42166666666666663</v>
      </c>
      <c r="C120" s="31" t="s">
        <v>567</v>
      </c>
    </row>
    <row r="121" spans="1:3" x14ac:dyDescent="0.25">
      <c r="A121" s="33" t="s">
        <v>689</v>
      </c>
      <c r="B121" s="30">
        <v>0.47833333333333333</v>
      </c>
      <c r="C121" s="31" t="s">
        <v>567</v>
      </c>
    </row>
    <row r="122" spans="1:3" x14ac:dyDescent="0.25">
      <c r="A122" s="33" t="s">
        <v>690</v>
      </c>
      <c r="B122" s="30">
        <v>0.53500000000000003</v>
      </c>
      <c r="C122" s="31" t="s">
        <v>567</v>
      </c>
    </row>
    <row r="123" spans="1:3" x14ac:dyDescent="0.25">
      <c r="A123" s="33" t="s">
        <v>691</v>
      </c>
      <c r="B123" s="30">
        <v>0.59</v>
      </c>
      <c r="C123" s="31" t="s">
        <v>567</v>
      </c>
    </row>
    <row r="124" spans="1:3" x14ac:dyDescent="0.25">
      <c r="A124" s="33" t="s">
        <v>692</v>
      </c>
      <c r="B124" s="30">
        <v>0.64500000000000002</v>
      </c>
      <c r="C124" s="31" t="s">
        <v>567</v>
      </c>
    </row>
    <row r="125" spans="1:3" x14ac:dyDescent="0.25">
      <c r="A125" s="33" t="s">
        <v>693</v>
      </c>
      <c r="B125" s="30">
        <v>0.70000000000000007</v>
      </c>
      <c r="C125" s="31" t="s">
        <v>567</v>
      </c>
    </row>
    <row r="126" spans="1:3" x14ac:dyDescent="0.25">
      <c r="A126" s="33" t="s">
        <v>694</v>
      </c>
      <c r="B126" s="30">
        <v>0.80500000000000005</v>
      </c>
      <c r="C126" s="31" t="s">
        <v>567</v>
      </c>
    </row>
    <row r="127" spans="1:3" x14ac:dyDescent="0.25">
      <c r="A127" s="33" t="s">
        <v>695</v>
      </c>
      <c r="B127" s="30">
        <v>0.85666666666666658</v>
      </c>
      <c r="C127" s="31" t="s">
        <v>567</v>
      </c>
    </row>
    <row r="128" spans="1:3" x14ac:dyDescent="0.25">
      <c r="A128" s="33" t="s">
        <v>696</v>
      </c>
      <c r="B128" s="30">
        <v>1.0083333333333333</v>
      </c>
      <c r="C128" s="31" t="s">
        <v>567</v>
      </c>
    </row>
    <row r="129" spans="1:3" x14ac:dyDescent="0.25">
      <c r="A129" s="33" t="s">
        <v>697</v>
      </c>
      <c r="B129" s="30">
        <v>1.105</v>
      </c>
      <c r="C129" s="31" t="s">
        <v>567</v>
      </c>
    </row>
    <row r="130" spans="1:3" x14ac:dyDescent="0.25">
      <c r="A130" s="33" t="s">
        <v>698</v>
      </c>
      <c r="B130" s="30">
        <v>0.53166666666666662</v>
      </c>
      <c r="C130" s="31" t="s">
        <v>567</v>
      </c>
    </row>
    <row r="131" spans="1:3" x14ac:dyDescent="0.25">
      <c r="A131" s="33" t="s">
        <v>699</v>
      </c>
      <c r="B131" s="30">
        <v>0.60333333333333339</v>
      </c>
      <c r="C131" s="31" t="s">
        <v>567</v>
      </c>
    </row>
    <row r="132" spans="1:3" x14ac:dyDescent="0.25">
      <c r="A132" s="33" t="s">
        <v>700</v>
      </c>
      <c r="B132" s="30">
        <v>0.67666666666666664</v>
      </c>
      <c r="C132" s="31" t="s">
        <v>567</v>
      </c>
    </row>
    <row r="133" spans="1:3" x14ac:dyDescent="0.25">
      <c r="A133" s="33" t="s">
        <v>701</v>
      </c>
      <c r="B133" s="30">
        <v>0.7466666666666667</v>
      </c>
      <c r="C133" s="31" t="s">
        <v>567</v>
      </c>
    </row>
    <row r="134" spans="1:3" x14ac:dyDescent="0.25">
      <c r="A134" s="33" t="s">
        <v>702</v>
      </c>
      <c r="B134" s="30">
        <v>0.81833333333333336</v>
      </c>
      <c r="C134" s="31" t="s">
        <v>567</v>
      </c>
    </row>
    <row r="135" spans="1:3" x14ac:dyDescent="0.25">
      <c r="A135" s="33" t="s">
        <v>703</v>
      </c>
      <c r="B135" s="30">
        <v>0.88833333333333331</v>
      </c>
      <c r="C135" s="31" t="s">
        <v>567</v>
      </c>
    </row>
    <row r="136" spans="1:3" x14ac:dyDescent="0.25">
      <c r="A136" s="33" t="s">
        <v>704</v>
      </c>
      <c r="B136" s="30">
        <v>1.0250000000000001</v>
      </c>
      <c r="C136" s="31" t="s">
        <v>567</v>
      </c>
    </row>
    <row r="137" spans="1:3" x14ac:dyDescent="0.25">
      <c r="A137" s="33" t="s">
        <v>705</v>
      </c>
      <c r="B137" s="30">
        <v>1.0933333333333333</v>
      </c>
      <c r="C137" s="31" t="s">
        <v>567</v>
      </c>
    </row>
    <row r="138" spans="1:3" x14ac:dyDescent="0.25">
      <c r="A138" s="33" t="s">
        <v>706</v>
      </c>
      <c r="B138" s="30">
        <v>1.2916666666666667</v>
      </c>
      <c r="C138" s="31" t="s">
        <v>567</v>
      </c>
    </row>
    <row r="139" spans="1:3" x14ac:dyDescent="0.25">
      <c r="A139" s="33" t="s">
        <v>707</v>
      </c>
      <c r="B139" s="30">
        <v>1.42</v>
      </c>
      <c r="C139" s="31" t="s">
        <v>567</v>
      </c>
    </row>
    <row r="140" spans="1:3" x14ac:dyDescent="0.25">
      <c r="A140" s="33" t="s">
        <v>708</v>
      </c>
      <c r="B140" s="30">
        <v>0.64166666666666672</v>
      </c>
      <c r="C140" s="31" t="s">
        <v>567</v>
      </c>
    </row>
    <row r="141" spans="1:3" x14ac:dyDescent="0.25">
      <c r="A141" s="33" t="s">
        <v>709</v>
      </c>
      <c r="B141" s="30">
        <v>0.73</v>
      </c>
      <c r="C141" s="31" t="s">
        <v>567</v>
      </c>
    </row>
    <row r="142" spans="1:3" x14ac:dyDescent="0.25">
      <c r="A142" s="33" t="s">
        <v>710</v>
      </c>
      <c r="B142" s="30">
        <v>0.81666666666666676</v>
      </c>
      <c r="C142" s="31" t="s">
        <v>567</v>
      </c>
    </row>
    <row r="143" spans="1:3" x14ac:dyDescent="0.25">
      <c r="A143" s="33" t="s">
        <v>711</v>
      </c>
      <c r="B143" s="30">
        <v>0.90499999999999992</v>
      </c>
      <c r="C143" s="31" t="s">
        <v>567</v>
      </c>
    </row>
    <row r="144" spans="1:3" x14ac:dyDescent="0.25">
      <c r="A144" s="33" t="s">
        <v>712</v>
      </c>
      <c r="B144" s="30">
        <v>0.9900000000000001</v>
      </c>
      <c r="C144" s="31" t="s">
        <v>567</v>
      </c>
    </row>
    <row r="145" spans="1:3" x14ac:dyDescent="0.25">
      <c r="A145" s="33" t="s">
        <v>713</v>
      </c>
      <c r="B145" s="30">
        <v>1.0766666666666667</v>
      </c>
      <c r="C145" s="31" t="s">
        <v>567</v>
      </c>
    </row>
    <row r="146" spans="1:3" x14ac:dyDescent="0.25">
      <c r="A146" s="33" t="s">
        <v>714</v>
      </c>
      <c r="B146" s="30">
        <v>1.2449999999999999</v>
      </c>
      <c r="C146" s="31" t="s">
        <v>567</v>
      </c>
    </row>
    <row r="147" spans="1:3" x14ac:dyDescent="0.25">
      <c r="A147" s="33" t="s">
        <v>715</v>
      </c>
      <c r="B147" s="30">
        <v>1.3283333333333334</v>
      </c>
      <c r="C147" s="31" t="s">
        <v>567</v>
      </c>
    </row>
    <row r="148" spans="1:3" x14ac:dyDescent="0.25">
      <c r="A148" s="33" t="s">
        <v>716</v>
      </c>
      <c r="B148" s="30">
        <v>1.5733333333333333</v>
      </c>
      <c r="C148" s="31" t="s">
        <v>567</v>
      </c>
    </row>
    <row r="149" spans="1:3" x14ac:dyDescent="0.25">
      <c r="A149" s="33" t="s">
        <v>717</v>
      </c>
      <c r="B149" s="30">
        <v>1.7333333333333334</v>
      </c>
      <c r="C149" s="31" t="s">
        <v>567</v>
      </c>
    </row>
    <row r="150" spans="1:3" x14ac:dyDescent="0.25">
      <c r="A150" s="33" t="s">
        <v>718</v>
      </c>
      <c r="B150" s="30">
        <v>1.9666666666666668</v>
      </c>
      <c r="C150" s="31" t="s">
        <v>567</v>
      </c>
    </row>
    <row r="151" spans="1:3" x14ac:dyDescent="0.25">
      <c r="A151" s="33" t="s">
        <v>719</v>
      </c>
      <c r="B151" s="30">
        <v>2.12</v>
      </c>
      <c r="C151" s="31" t="s">
        <v>567</v>
      </c>
    </row>
    <row r="152" spans="1:3" x14ac:dyDescent="0.25">
      <c r="A152" s="33" t="s">
        <v>720</v>
      </c>
      <c r="B152" s="30">
        <v>0.86</v>
      </c>
      <c r="C152" s="31" t="s">
        <v>567</v>
      </c>
    </row>
    <row r="153" spans="1:3" x14ac:dyDescent="0.25">
      <c r="A153" s="33" t="s">
        <v>721</v>
      </c>
      <c r="B153" s="30">
        <v>0.98</v>
      </c>
      <c r="C153" s="31" t="s">
        <v>567</v>
      </c>
    </row>
    <row r="154" spans="1:3" x14ac:dyDescent="0.25">
      <c r="A154" s="33" t="s">
        <v>722</v>
      </c>
      <c r="B154" s="30">
        <v>1.0999999999999999</v>
      </c>
      <c r="C154" s="31" t="s">
        <v>567</v>
      </c>
    </row>
    <row r="155" spans="1:3" x14ac:dyDescent="0.25">
      <c r="A155" s="33" t="s">
        <v>723</v>
      </c>
      <c r="B155" s="30">
        <v>1.2183333333333333</v>
      </c>
      <c r="C155" s="31" t="s">
        <v>567</v>
      </c>
    </row>
    <row r="156" spans="1:3" x14ac:dyDescent="0.25">
      <c r="A156" s="33" t="s">
        <v>724</v>
      </c>
      <c r="B156" s="30">
        <v>1.3366666666666667</v>
      </c>
      <c r="C156" s="31" t="s">
        <v>567</v>
      </c>
    </row>
    <row r="157" spans="1:3" x14ac:dyDescent="0.25">
      <c r="A157" s="33" t="s">
        <v>725</v>
      </c>
      <c r="B157" s="30">
        <v>1.4533333333333334</v>
      </c>
      <c r="C157" s="31" t="s">
        <v>567</v>
      </c>
    </row>
    <row r="158" spans="1:3" x14ac:dyDescent="0.25">
      <c r="A158" s="33" t="s">
        <v>726</v>
      </c>
      <c r="B158" s="30">
        <v>1.6849999999999998</v>
      </c>
      <c r="C158" s="31" t="s">
        <v>567</v>
      </c>
    </row>
    <row r="159" spans="1:3" x14ac:dyDescent="0.25">
      <c r="A159" s="33" t="s">
        <v>727</v>
      </c>
      <c r="B159" s="30">
        <v>1.8</v>
      </c>
      <c r="C159" s="31" t="s">
        <v>567</v>
      </c>
    </row>
    <row r="160" spans="1:3" x14ac:dyDescent="0.25">
      <c r="A160" s="33" t="s">
        <v>728</v>
      </c>
      <c r="B160" s="30">
        <v>2.1383333333333332</v>
      </c>
      <c r="C160" s="31" t="s">
        <v>567</v>
      </c>
    </row>
    <row r="161" spans="1:3" x14ac:dyDescent="0.25">
      <c r="A161" s="33" t="s">
        <v>729</v>
      </c>
      <c r="B161" s="30">
        <v>2.3616666666666668</v>
      </c>
      <c r="C161" s="31" t="s">
        <v>567</v>
      </c>
    </row>
    <row r="162" spans="1:3" x14ac:dyDescent="0.25">
      <c r="A162" s="33" t="s">
        <v>730</v>
      </c>
      <c r="B162" s="30">
        <v>2.69</v>
      </c>
      <c r="C162" s="31" t="s">
        <v>567</v>
      </c>
    </row>
    <row r="163" spans="1:3" x14ac:dyDescent="0.25">
      <c r="A163" s="33" t="s">
        <v>731</v>
      </c>
      <c r="B163" s="30">
        <v>2.9049999999999998</v>
      </c>
      <c r="C163" s="31" t="s">
        <v>567</v>
      </c>
    </row>
    <row r="164" spans="1:3" x14ac:dyDescent="0.25">
      <c r="A164" s="33" t="s">
        <v>732</v>
      </c>
      <c r="B164" s="30">
        <v>3.2216666666666662</v>
      </c>
      <c r="C164" s="31" t="s">
        <v>567</v>
      </c>
    </row>
    <row r="165" spans="1:3" x14ac:dyDescent="0.25">
      <c r="A165" s="33" t="s">
        <v>733</v>
      </c>
      <c r="B165" s="30">
        <v>3.4283333333333332</v>
      </c>
      <c r="C165" s="31" t="s">
        <v>567</v>
      </c>
    </row>
    <row r="166" spans="1:3" x14ac:dyDescent="0.25">
      <c r="A166" s="33" t="s">
        <v>734</v>
      </c>
      <c r="B166" s="30">
        <v>1.5316666666666665</v>
      </c>
      <c r="C166" s="31" t="s">
        <v>567</v>
      </c>
    </row>
    <row r="167" spans="1:3" x14ac:dyDescent="0.25">
      <c r="A167" s="33" t="s">
        <v>735</v>
      </c>
      <c r="B167" s="30">
        <v>1.6816666666666666</v>
      </c>
      <c r="C167" s="31" t="s">
        <v>567</v>
      </c>
    </row>
    <row r="168" spans="1:3" x14ac:dyDescent="0.25">
      <c r="A168" s="33" t="s">
        <v>736</v>
      </c>
      <c r="B168" s="30">
        <v>1.83</v>
      </c>
      <c r="C168" s="31" t="s">
        <v>567</v>
      </c>
    </row>
    <row r="169" spans="1:3" x14ac:dyDescent="0.25">
      <c r="A169" s="33" t="s">
        <v>737</v>
      </c>
      <c r="B169" s="30">
        <v>2.1233333333333335</v>
      </c>
      <c r="C169" s="31" t="s">
        <v>567</v>
      </c>
    </row>
    <row r="170" spans="1:3" x14ac:dyDescent="0.25">
      <c r="A170" s="33" t="s">
        <v>738</v>
      </c>
      <c r="B170" s="30">
        <v>2.27</v>
      </c>
      <c r="C170" s="31" t="s">
        <v>567</v>
      </c>
    </row>
    <row r="171" spans="1:3" x14ac:dyDescent="0.25">
      <c r="A171" s="33" t="s">
        <v>739</v>
      </c>
      <c r="B171" s="30">
        <v>2.7033333333333331</v>
      </c>
      <c r="C171" s="31" t="s">
        <v>567</v>
      </c>
    </row>
    <row r="172" spans="1:3" x14ac:dyDescent="0.25">
      <c r="A172" s="33" t="s">
        <v>740</v>
      </c>
      <c r="B172" s="30">
        <v>2.99</v>
      </c>
      <c r="C172" s="31" t="s">
        <v>567</v>
      </c>
    </row>
    <row r="173" spans="1:3" x14ac:dyDescent="0.25">
      <c r="A173" s="33" t="s">
        <v>741</v>
      </c>
      <c r="B173" s="30">
        <v>3.4116666666666666</v>
      </c>
      <c r="C173" s="31" t="s">
        <v>567</v>
      </c>
    </row>
    <row r="174" spans="1:3" x14ac:dyDescent="0.25">
      <c r="A174" s="33" t="s">
        <v>742</v>
      </c>
      <c r="B174" s="30">
        <v>3.69</v>
      </c>
      <c r="C174" s="31" t="s">
        <v>567</v>
      </c>
    </row>
    <row r="175" spans="1:3" x14ac:dyDescent="0.25">
      <c r="A175" s="33" t="s">
        <v>743</v>
      </c>
      <c r="B175" s="30">
        <v>4.1000000000000005</v>
      </c>
      <c r="C175" s="31" t="s">
        <v>567</v>
      </c>
    </row>
    <row r="176" spans="1:3" x14ac:dyDescent="0.25">
      <c r="A176" s="33" t="s">
        <v>744</v>
      </c>
      <c r="B176" s="30">
        <v>4.371666666666667</v>
      </c>
      <c r="C176" s="31" t="s">
        <v>567</v>
      </c>
    </row>
    <row r="177" spans="1:3" x14ac:dyDescent="0.25">
      <c r="A177" s="33" t="s">
        <v>745</v>
      </c>
      <c r="B177" s="30">
        <v>4.6383333333333328</v>
      </c>
      <c r="C177" s="31" t="s">
        <v>567</v>
      </c>
    </row>
    <row r="178" spans="1:3" x14ac:dyDescent="0.25">
      <c r="A178" s="33" t="s">
        <v>746</v>
      </c>
      <c r="B178" s="30">
        <v>5.0333333333333332</v>
      </c>
      <c r="C178" s="31" t="s">
        <v>567</v>
      </c>
    </row>
    <row r="179" spans="1:3" x14ac:dyDescent="0.25">
      <c r="A179" s="33" t="s">
        <v>747</v>
      </c>
      <c r="B179" s="30">
        <v>2.0266666666666668</v>
      </c>
      <c r="C179" s="31" t="s">
        <v>567</v>
      </c>
    </row>
    <row r="180" spans="1:3" x14ac:dyDescent="0.25">
      <c r="A180" s="33" t="s">
        <v>748</v>
      </c>
      <c r="B180" s="30">
        <v>2.2066666666666666</v>
      </c>
      <c r="C180" s="31" t="s">
        <v>567</v>
      </c>
    </row>
    <row r="181" spans="1:3" x14ac:dyDescent="0.25">
      <c r="A181" s="33" t="s">
        <v>749</v>
      </c>
      <c r="B181" s="30">
        <v>2.5633333333333335</v>
      </c>
      <c r="C181" s="31" t="s">
        <v>567</v>
      </c>
    </row>
    <row r="182" spans="1:3" x14ac:dyDescent="0.25">
      <c r="A182" s="33" t="s">
        <v>750</v>
      </c>
      <c r="B182" s="30">
        <v>2.7416666666666667</v>
      </c>
      <c r="C182" s="31" t="s">
        <v>567</v>
      </c>
    </row>
    <row r="183" spans="1:3" x14ac:dyDescent="0.25">
      <c r="A183" s="33" t="s">
        <v>751</v>
      </c>
      <c r="B183" s="30">
        <v>3.2683333333333331</v>
      </c>
      <c r="C183" s="31" t="s">
        <v>567</v>
      </c>
    </row>
    <row r="184" spans="1:3" x14ac:dyDescent="0.25">
      <c r="A184" s="33" t="s">
        <v>752</v>
      </c>
      <c r="B184" s="30">
        <v>3.6166666666666667</v>
      </c>
      <c r="C184" s="31" t="s">
        <v>567</v>
      </c>
    </row>
    <row r="185" spans="1:3" x14ac:dyDescent="0.25">
      <c r="A185" s="33" t="s">
        <v>753</v>
      </c>
      <c r="B185" s="30">
        <v>4.1333333333333337</v>
      </c>
      <c r="C185" s="31" t="s">
        <v>567</v>
      </c>
    </row>
    <row r="186" spans="1:3" x14ac:dyDescent="0.25">
      <c r="A186" s="33" t="s">
        <v>754</v>
      </c>
      <c r="B186" s="30">
        <v>4.4750000000000005</v>
      </c>
      <c r="C186" s="31" t="s">
        <v>567</v>
      </c>
    </row>
    <row r="187" spans="1:3" x14ac:dyDescent="0.25">
      <c r="A187" s="33" t="s">
        <v>755</v>
      </c>
      <c r="B187" s="30">
        <v>4.9799999999999995</v>
      </c>
      <c r="C187" s="31" t="s">
        <v>567</v>
      </c>
    </row>
    <row r="188" spans="1:3" x14ac:dyDescent="0.25">
      <c r="A188" s="33" t="s">
        <v>756</v>
      </c>
      <c r="B188" s="30">
        <v>5.3133333333333335</v>
      </c>
      <c r="C188" s="31" t="s">
        <v>567</v>
      </c>
    </row>
    <row r="189" spans="1:3" x14ac:dyDescent="0.25">
      <c r="A189" s="33" t="s">
        <v>757</v>
      </c>
      <c r="B189" s="30">
        <v>5.6433333333333335</v>
      </c>
      <c r="C189" s="31" t="s">
        <v>567</v>
      </c>
    </row>
    <row r="190" spans="1:3" x14ac:dyDescent="0.25">
      <c r="A190" s="33" t="s">
        <v>758</v>
      </c>
      <c r="B190" s="30">
        <v>6.1316666666666668</v>
      </c>
      <c r="C190" s="31" t="s">
        <v>567</v>
      </c>
    </row>
    <row r="191" spans="1:3" x14ac:dyDescent="0.25">
      <c r="A191" s="33" t="s">
        <v>759</v>
      </c>
      <c r="B191" s="30">
        <v>4.1550000000000002</v>
      </c>
      <c r="C191" s="31" t="s">
        <v>567</v>
      </c>
    </row>
    <row r="192" spans="1:3" x14ac:dyDescent="0.25">
      <c r="A192" s="33" t="s">
        <v>760</v>
      </c>
      <c r="B192" s="30">
        <v>4.9649999999999999</v>
      </c>
      <c r="C192" s="31" t="s">
        <v>567</v>
      </c>
    </row>
    <row r="193" spans="1:3" x14ac:dyDescent="0.25">
      <c r="A193" s="33" t="s">
        <v>761</v>
      </c>
      <c r="B193" s="30">
        <v>5.501666666666666</v>
      </c>
      <c r="C193" s="31" t="s">
        <v>567</v>
      </c>
    </row>
    <row r="194" spans="1:3" x14ac:dyDescent="0.25">
      <c r="A194" s="33" t="s">
        <v>762</v>
      </c>
      <c r="B194" s="30">
        <v>6.3</v>
      </c>
      <c r="C194" s="31" t="s">
        <v>567</v>
      </c>
    </row>
    <row r="195" spans="1:3" x14ac:dyDescent="0.25">
      <c r="A195" s="33" t="s">
        <v>763</v>
      </c>
      <c r="B195" s="30">
        <v>6.8299999999999992</v>
      </c>
      <c r="C195" s="31" t="s">
        <v>567</v>
      </c>
    </row>
    <row r="196" spans="1:3" x14ac:dyDescent="0.25">
      <c r="A196" s="33" t="s">
        <v>764</v>
      </c>
      <c r="B196" s="30">
        <v>7.6166666666666671</v>
      </c>
      <c r="C196" s="31" t="s">
        <v>567</v>
      </c>
    </row>
    <row r="197" spans="1:3" x14ac:dyDescent="0.25">
      <c r="A197" s="33" t="s">
        <v>765</v>
      </c>
      <c r="B197" s="30">
        <v>8.1383333333333336</v>
      </c>
      <c r="C197" s="31" t="s">
        <v>567</v>
      </c>
    </row>
    <row r="198" spans="1:3" x14ac:dyDescent="0.25">
      <c r="A198" s="33" t="s">
        <v>766</v>
      </c>
      <c r="B198" s="30">
        <v>8.6566666666666663</v>
      </c>
      <c r="C198" s="31" t="s">
        <v>567</v>
      </c>
    </row>
    <row r="199" spans="1:3" x14ac:dyDescent="0.25">
      <c r="A199" s="33" t="s">
        <v>767</v>
      </c>
      <c r="B199" s="30">
        <v>9.43</v>
      </c>
      <c r="C199" s="31" t="s">
        <v>567</v>
      </c>
    </row>
    <row r="200" spans="1:3" x14ac:dyDescent="0.25">
      <c r="A200" s="33" t="s">
        <v>768</v>
      </c>
      <c r="B200" s="30">
        <v>10.195</v>
      </c>
      <c r="C200" s="31" t="s">
        <v>567</v>
      </c>
    </row>
    <row r="201" spans="1:3" x14ac:dyDescent="0.25">
      <c r="A201" s="33" t="s">
        <v>769</v>
      </c>
      <c r="B201" s="30">
        <v>10.701666666666666</v>
      </c>
      <c r="C201" s="31" t="s">
        <v>567</v>
      </c>
    </row>
    <row r="202" spans="1:3" x14ac:dyDescent="0.25">
      <c r="A202" s="33" t="s">
        <v>770</v>
      </c>
      <c r="B202" s="30">
        <v>0.41</v>
      </c>
      <c r="C202" s="31" t="s">
        <v>567</v>
      </c>
    </row>
    <row r="203" spans="1:3" x14ac:dyDescent="0.25">
      <c r="A203" s="33" t="s">
        <v>771</v>
      </c>
      <c r="B203" s="30">
        <v>0.46500000000000002</v>
      </c>
      <c r="C203" s="31" t="s">
        <v>567</v>
      </c>
    </row>
    <row r="204" spans="1:3" x14ac:dyDescent="0.25">
      <c r="A204" s="33" t="s">
        <v>772</v>
      </c>
      <c r="B204" s="30">
        <v>0.52</v>
      </c>
      <c r="C204" s="31" t="s">
        <v>567</v>
      </c>
    </row>
    <row r="205" spans="1:3" x14ac:dyDescent="0.25">
      <c r="A205" s="33" t="s">
        <v>773</v>
      </c>
      <c r="B205" s="30">
        <v>0.57500000000000007</v>
      </c>
      <c r="C205" s="31" t="s">
        <v>567</v>
      </c>
    </row>
    <row r="206" spans="1:3" x14ac:dyDescent="0.25">
      <c r="A206" s="33" t="s">
        <v>774</v>
      </c>
      <c r="B206" s="30">
        <v>0.6283333333333333</v>
      </c>
      <c r="C206" s="31" t="s">
        <v>567</v>
      </c>
    </row>
    <row r="207" spans="1:3" x14ac:dyDescent="0.25">
      <c r="A207" s="33" t="s">
        <v>775</v>
      </c>
      <c r="B207" s="30">
        <v>0.68</v>
      </c>
      <c r="C207" s="31" t="s">
        <v>567</v>
      </c>
    </row>
    <row r="208" spans="1:3" x14ac:dyDescent="0.25">
      <c r="A208" s="33" t="s">
        <v>776</v>
      </c>
      <c r="B208" s="30">
        <v>0.78333333333333333</v>
      </c>
      <c r="C208" s="31" t="s">
        <v>567</v>
      </c>
    </row>
    <row r="209" spans="1:3" x14ac:dyDescent="0.25">
      <c r="A209" s="33" t="s">
        <v>777</v>
      </c>
      <c r="B209" s="30">
        <v>0.83333333333333337</v>
      </c>
      <c r="C209" s="31" t="s">
        <v>567</v>
      </c>
    </row>
    <row r="210" spans="1:3" x14ac:dyDescent="0.25">
      <c r="A210" s="33" t="s">
        <v>778</v>
      </c>
      <c r="B210" s="30">
        <v>0.64166666666666672</v>
      </c>
      <c r="C210" s="31" t="s">
        <v>567</v>
      </c>
    </row>
    <row r="211" spans="1:3" x14ac:dyDescent="0.25">
      <c r="A211" s="33" t="s">
        <v>779</v>
      </c>
      <c r="B211" s="30">
        <v>0.73</v>
      </c>
      <c r="C211" s="31" t="s">
        <v>567</v>
      </c>
    </row>
    <row r="212" spans="1:3" x14ac:dyDescent="0.25">
      <c r="A212" s="33" t="s">
        <v>780</v>
      </c>
      <c r="B212" s="30">
        <v>0.81666666666666676</v>
      </c>
      <c r="C212" s="31" t="s">
        <v>567</v>
      </c>
    </row>
    <row r="213" spans="1:3" x14ac:dyDescent="0.25">
      <c r="A213" s="33" t="s">
        <v>781</v>
      </c>
      <c r="B213" s="30">
        <v>0.90499999999999992</v>
      </c>
      <c r="C213" s="31" t="s">
        <v>567</v>
      </c>
    </row>
    <row r="214" spans="1:3" x14ac:dyDescent="0.25">
      <c r="A214" s="33" t="s">
        <v>782</v>
      </c>
      <c r="B214" s="30">
        <v>0.9900000000000001</v>
      </c>
      <c r="C214" s="31" t="s">
        <v>567</v>
      </c>
    </row>
    <row r="215" spans="1:3" x14ac:dyDescent="0.25">
      <c r="A215" s="33" t="s">
        <v>783</v>
      </c>
      <c r="B215" s="30">
        <v>1.0766666666666667</v>
      </c>
      <c r="C215" s="31" t="s">
        <v>567</v>
      </c>
    </row>
    <row r="216" spans="1:3" x14ac:dyDescent="0.25">
      <c r="A216" s="33" t="s">
        <v>784</v>
      </c>
      <c r="B216" s="30">
        <v>1.2449999999999999</v>
      </c>
      <c r="C216" s="31" t="s">
        <v>567</v>
      </c>
    </row>
    <row r="217" spans="1:3" x14ac:dyDescent="0.25">
      <c r="A217" s="33" t="s">
        <v>785</v>
      </c>
      <c r="B217" s="30">
        <v>1.3283333333333334</v>
      </c>
      <c r="C217" s="31" t="s">
        <v>567</v>
      </c>
    </row>
    <row r="218" spans="1:3" x14ac:dyDescent="0.25">
      <c r="A218" s="33" t="s">
        <v>786</v>
      </c>
      <c r="B218" s="30">
        <v>1.5733333333333333</v>
      </c>
      <c r="C218" s="31" t="s">
        <v>567</v>
      </c>
    </row>
    <row r="219" spans="1:3" x14ac:dyDescent="0.25">
      <c r="A219" s="33" t="s">
        <v>787</v>
      </c>
      <c r="B219" s="30">
        <v>1.7333333333333334</v>
      </c>
      <c r="C219" s="31" t="s">
        <v>567</v>
      </c>
    </row>
    <row r="220" spans="1:3" x14ac:dyDescent="0.25">
      <c r="A220" s="33" t="s">
        <v>788</v>
      </c>
      <c r="B220" s="30">
        <v>1.9666666666666668</v>
      </c>
      <c r="C220" s="31" t="s">
        <v>567</v>
      </c>
    </row>
    <row r="221" spans="1:3" x14ac:dyDescent="0.25">
      <c r="A221" s="33" t="s">
        <v>789</v>
      </c>
      <c r="B221" s="30">
        <v>2.12</v>
      </c>
      <c r="C221" s="31" t="s">
        <v>567</v>
      </c>
    </row>
    <row r="222" spans="1:3" x14ac:dyDescent="0.25">
      <c r="A222" s="33" t="s">
        <v>790</v>
      </c>
      <c r="B222" s="30">
        <v>1.2416666666666667</v>
      </c>
      <c r="C222" s="31" t="s">
        <v>567</v>
      </c>
    </row>
    <row r="223" spans="1:3" x14ac:dyDescent="0.25">
      <c r="A223" s="33" t="s">
        <v>791</v>
      </c>
      <c r="B223" s="30">
        <v>1.375</v>
      </c>
      <c r="C223" s="31" t="s">
        <v>567</v>
      </c>
    </row>
    <row r="224" spans="1:3" x14ac:dyDescent="0.25">
      <c r="A224" s="33" t="s">
        <v>792</v>
      </c>
      <c r="B224" s="30">
        <v>1.5083333333333335</v>
      </c>
      <c r="C224" s="31" t="s">
        <v>567</v>
      </c>
    </row>
    <row r="225" spans="1:3" x14ac:dyDescent="0.25">
      <c r="A225" s="33" t="s">
        <v>793</v>
      </c>
      <c r="B225" s="30">
        <v>1.6416666666666666</v>
      </c>
      <c r="C225" s="31" t="s">
        <v>567</v>
      </c>
    </row>
    <row r="226" spans="1:3" x14ac:dyDescent="0.25">
      <c r="A226" s="33" t="s">
        <v>794</v>
      </c>
      <c r="B226" s="30">
        <v>1.905</v>
      </c>
      <c r="C226" s="31" t="s">
        <v>567</v>
      </c>
    </row>
    <row r="227" spans="1:3" x14ac:dyDescent="0.25">
      <c r="A227" s="33" t="s">
        <v>795</v>
      </c>
      <c r="B227" s="30">
        <v>2.0350000000000001</v>
      </c>
      <c r="C227" s="31" t="s">
        <v>567</v>
      </c>
    </row>
    <row r="228" spans="1:3" x14ac:dyDescent="0.25">
      <c r="A228" s="33" t="s">
        <v>796</v>
      </c>
      <c r="B228" s="30">
        <v>2.4216666666666664</v>
      </c>
      <c r="C228" s="31" t="s">
        <v>567</v>
      </c>
    </row>
    <row r="229" spans="1:3" x14ac:dyDescent="0.25">
      <c r="A229" s="33" t="s">
        <v>797</v>
      </c>
      <c r="B229" s="30">
        <v>2.6750000000000003</v>
      </c>
      <c r="C229" s="31" t="s">
        <v>567</v>
      </c>
    </row>
    <row r="230" spans="1:3" x14ac:dyDescent="0.25">
      <c r="A230" s="33" t="s">
        <v>798</v>
      </c>
      <c r="B230" s="30">
        <v>3.0500000000000003</v>
      </c>
      <c r="C230" s="31" t="s">
        <v>567</v>
      </c>
    </row>
    <row r="231" spans="1:3" x14ac:dyDescent="0.25">
      <c r="A231" s="33" t="s">
        <v>799</v>
      </c>
      <c r="B231" s="30">
        <v>3.2966666666666669</v>
      </c>
      <c r="C231" s="31" t="s">
        <v>567</v>
      </c>
    </row>
    <row r="232" spans="1:3" x14ac:dyDescent="0.25">
      <c r="A232" s="33" t="s">
        <v>800</v>
      </c>
      <c r="B232" s="30">
        <v>3.6616666666666666</v>
      </c>
      <c r="C232" s="31" t="s">
        <v>567</v>
      </c>
    </row>
    <row r="233" spans="1:3" x14ac:dyDescent="0.25">
      <c r="A233" s="33" t="s">
        <v>801</v>
      </c>
      <c r="B233" s="30">
        <v>3.9</v>
      </c>
      <c r="C233" s="31" t="s">
        <v>567</v>
      </c>
    </row>
    <row r="234" spans="1:3" x14ac:dyDescent="0.25">
      <c r="A234" s="33" t="s">
        <v>802</v>
      </c>
      <c r="B234" s="30">
        <v>2.0266666666666668</v>
      </c>
      <c r="C234" s="31" t="s">
        <v>567</v>
      </c>
    </row>
    <row r="235" spans="1:3" x14ac:dyDescent="0.25">
      <c r="A235" s="33" t="s">
        <v>803</v>
      </c>
      <c r="B235" s="30">
        <v>2.2066666666666666</v>
      </c>
      <c r="C235" s="31" t="s">
        <v>567</v>
      </c>
    </row>
    <row r="236" spans="1:3" x14ac:dyDescent="0.25">
      <c r="A236" s="33" t="s">
        <v>804</v>
      </c>
      <c r="B236" s="30">
        <v>2.5633333333333335</v>
      </c>
      <c r="C236" s="31" t="s">
        <v>567</v>
      </c>
    </row>
    <row r="237" spans="1:3" x14ac:dyDescent="0.25">
      <c r="A237" s="33" t="s">
        <v>805</v>
      </c>
      <c r="B237" s="30">
        <v>2.7416666666666667</v>
      </c>
      <c r="C237" s="31" t="s">
        <v>567</v>
      </c>
    </row>
    <row r="238" spans="1:3" x14ac:dyDescent="0.25">
      <c r="A238" s="33" t="s">
        <v>806</v>
      </c>
      <c r="B238" s="30">
        <v>3.2683333333333331</v>
      </c>
      <c r="C238" s="31" t="s">
        <v>567</v>
      </c>
    </row>
    <row r="239" spans="1:3" x14ac:dyDescent="0.25">
      <c r="A239" s="33" t="s">
        <v>807</v>
      </c>
      <c r="B239" s="30">
        <v>3.6166666666666667</v>
      </c>
      <c r="C239" s="31" t="s">
        <v>567</v>
      </c>
    </row>
    <row r="240" spans="1:3" x14ac:dyDescent="0.25">
      <c r="A240" s="33" t="s">
        <v>808</v>
      </c>
      <c r="B240" s="30">
        <v>4.1333333333333337</v>
      </c>
      <c r="C240" s="31" t="s">
        <v>567</v>
      </c>
    </row>
    <row r="241" spans="1:3" x14ac:dyDescent="0.25">
      <c r="A241" s="33" t="s">
        <v>809</v>
      </c>
      <c r="B241" s="30">
        <v>4.4750000000000005</v>
      </c>
      <c r="C241" s="31" t="s">
        <v>567</v>
      </c>
    </row>
    <row r="242" spans="1:3" x14ac:dyDescent="0.25">
      <c r="A242" s="33" t="s">
        <v>810</v>
      </c>
      <c r="B242" s="30">
        <v>4.9799999999999995</v>
      </c>
      <c r="C242" s="31" t="s">
        <v>567</v>
      </c>
    </row>
    <row r="243" spans="1:3" x14ac:dyDescent="0.25">
      <c r="A243" s="33" t="s">
        <v>811</v>
      </c>
      <c r="B243" s="30">
        <v>5.3133333333333335</v>
      </c>
      <c r="C243" s="31" t="s">
        <v>567</v>
      </c>
    </row>
    <row r="244" spans="1:3" x14ac:dyDescent="0.25">
      <c r="A244" s="33" t="s">
        <v>812</v>
      </c>
      <c r="B244" s="30">
        <v>5.6433333333333335</v>
      </c>
      <c r="C244" s="31" t="s">
        <v>567</v>
      </c>
    </row>
    <row r="245" spans="1:3" x14ac:dyDescent="0.25">
      <c r="A245" s="33" t="s">
        <v>813</v>
      </c>
      <c r="B245" s="30">
        <v>6.1316666666666668</v>
      </c>
      <c r="C245" s="31" t="s">
        <v>567</v>
      </c>
    </row>
    <row r="246" spans="1:3" x14ac:dyDescent="0.25">
      <c r="A246" s="33" t="s">
        <v>814</v>
      </c>
      <c r="B246" s="30">
        <v>3.2216666666666662</v>
      </c>
      <c r="C246" s="31" t="s">
        <v>567</v>
      </c>
    </row>
    <row r="247" spans="1:3" x14ac:dyDescent="0.25">
      <c r="A247" s="33" t="s">
        <v>815</v>
      </c>
      <c r="B247" s="30">
        <v>3.4466666666666668</v>
      </c>
      <c r="C247" s="31" t="s">
        <v>567</v>
      </c>
    </row>
    <row r="248" spans="1:3" x14ac:dyDescent="0.25">
      <c r="A248" s="33" t="s">
        <v>816</v>
      </c>
      <c r="B248" s="30">
        <v>4.1150000000000002</v>
      </c>
      <c r="C248" s="31" t="s">
        <v>567</v>
      </c>
    </row>
    <row r="249" spans="1:3" x14ac:dyDescent="0.25">
      <c r="A249" s="33" t="s">
        <v>817</v>
      </c>
      <c r="B249" s="30">
        <v>4.5566666666666666</v>
      </c>
      <c r="C249" s="31" t="s">
        <v>567</v>
      </c>
    </row>
    <row r="250" spans="1:3" x14ac:dyDescent="0.25">
      <c r="A250" s="33" t="s">
        <v>818</v>
      </c>
      <c r="B250" s="30">
        <v>5.2149999999999999</v>
      </c>
      <c r="C250" s="31" t="s">
        <v>567</v>
      </c>
    </row>
    <row r="251" spans="1:3" x14ac:dyDescent="0.25">
      <c r="A251" s="33" t="s">
        <v>819</v>
      </c>
      <c r="B251" s="30">
        <v>5.6483333333333334</v>
      </c>
      <c r="C251" s="31" t="s">
        <v>567</v>
      </c>
    </row>
    <row r="252" spans="1:3" x14ac:dyDescent="0.25">
      <c r="A252" s="33" t="s">
        <v>820</v>
      </c>
      <c r="B252" s="30">
        <v>6.2950000000000008</v>
      </c>
      <c r="C252" s="31" t="s">
        <v>567</v>
      </c>
    </row>
    <row r="253" spans="1:3" x14ac:dyDescent="0.25">
      <c r="A253" s="33" t="s">
        <v>821</v>
      </c>
      <c r="B253" s="30">
        <v>6.7216666666666667</v>
      </c>
      <c r="C253" s="31" t="s">
        <v>567</v>
      </c>
    </row>
    <row r="254" spans="1:3" x14ac:dyDescent="0.25">
      <c r="A254" s="33" t="s">
        <v>822</v>
      </c>
      <c r="B254" s="30">
        <v>7.1449999999999996</v>
      </c>
      <c r="C254" s="31" t="s">
        <v>567</v>
      </c>
    </row>
    <row r="255" spans="1:3" x14ac:dyDescent="0.25">
      <c r="A255" s="33" t="s">
        <v>823</v>
      </c>
      <c r="B255" s="30">
        <v>7.7749999999999995</v>
      </c>
      <c r="C255" s="31" t="s">
        <v>567</v>
      </c>
    </row>
    <row r="256" spans="1:3" x14ac:dyDescent="0.25">
      <c r="A256" s="33" t="s">
        <v>824</v>
      </c>
      <c r="B256" s="30">
        <v>8.3983333333333334</v>
      </c>
      <c r="C256" s="31" t="s">
        <v>567</v>
      </c>
    </row>
    <row r="257" spans="1:3" x14ac:dyDescent="0.25">
      <c r="A257" s="33" t="s">
        <v>825</v>
      </c>
      <c r="B257" s="30">
        <v>8.81</v>
      </c>
      <c r="C257" s="31" t="s">
        <v>567</v>
      </c>
    </row>
    <row r="258" spans="1:3" x14ac:dyDescent="0.25">
      <c r="A258" s="33" t="s">
        <v>826</v>
      </c>
      <c r="B258" s="30">
        <v>4.1550000000000002</v>
      </c>
      <c r="C258" s="31" t="s">
        <v>567</v>
      </c>
    </row>
    <row r="259" spans="1:3" x14ac:dyDescent="0.25">
      <c r="A259" s="33" t="s">
        <v>827</v>
      </c>
      <c r="B259" s="30">
        <v>4.9649999999999999</v>
      </c>
      <c r="C259" s="31" t="s">
        <v>567</v>
      </c>
    </row>
    <row r="260" spans="1:3" x14ac:dyDescent="0.25">
      <c r="A260" s="33" t="s">
        <v>828</v>
      </c>
      <c r="B260" s="30">
        <v>5.501666666666666</v>
      </c>
      <c r="C260" s="31" t="s">
        <v>567</v>
      </c>
    </row>
    <row r="261" spans="1:3" x14ac:dyDescent="0.25">
      <c r="A261" s="33" t="s">
        <v>829</v>
      </c>
      <c r="B261" s="30">
        <v>6.3</v>
      </c>
      <c r="C261" s="31" t="s">
        <v>567</v>
      </c>
    </row>
    <row r="262" spans="1:3" x14ac:dyDescent="0.25">
      <c r="A262" s="33" t="s">
        <v>830</v>
      </c>
      <c r="B262" s="30">
        <v>6.8299999999999992</v>
      </c>
      <c r="C262" s="31" t="s">
        <v>567</v>
      </c>
    </row>
    <row r="263" spans="1:3" x14ac:dyDescent="0.25">
      <c r="A263" s="33" t="s">
        <v>831</v>
      </c>
      <c r="B263" s="30">
        <v>7.6166666666666671</v>
      </c>
      <c r="C263" s="31" t="s">
        <v>567</v>
      </c>
    </row>
    <row r="264" spans="1:3" x14ac:dyDescent="0.25">
      <c r="A264" s="33" t="s">
        <v>832</v>
      </c>
      <c r="B264" s="30">
        <v>8.1383333333333336</v>
      </c>
      <c r="C264" s="31" t="s">
        <v>567</v>
      </c>
    </row>
    <row r="265" spans="1:3" x14ac:dyDescent="0.25">
      <c r="A265" s="33" t="s">
        <v>833</v>
      </c>
      <c r="B265" s="30">
        <v>8.6566666666666663</v>
      </c>
      <c r="C265" s="31" t="s">
        <v>567</v>
      </c>
    </row>
    <row r="266" spans="1:3" x14ac:dyDescent="0.25">
      <c r="A266" s="33" t="s">
        <v>834</v>
      </c>
      <c r="B266" s="30">
        <v>9.43</v>
      </c>
      <c r="C266" s="31" t="s">
        <v>567</v>
      </c>
    </row>
    <row r="267" spans="1:3" x14ac:dyDescent="0.25">
      <c r="A267" s="33" t="s">
        <v>835</v>
      </c>
      <c r="B267" s="30">
        <v>10.195</v>
      </c>
      <c r="C267" s="31" t="s">
        <v>567</v>
      </c>
    </row>
    <row r="268" spans="1:3" x14ac:dyDescent="0.25">
      <c r="A268" s="33" t="s">
        <v>836</v>
      </c>
      <c r="B268" s="30">
        <v>10.701666666666666</v>
      </c>
      <c r="C268" s="31" t="s">
        <v>567</v>
      </c>
    </row>
    <row r="269" spans="1:3" x14ac:dyDescent="0.25">
      <c r="A269" s="48" t="s">
        <v>837</v>
      </c>
      <c r="B269" s="49">
        <v>6.13</v>
      </c>
      <c r="C269" s="31" t="s">
        <v>567</v>
      </c>
    </row>
    <row r="270" spans="1:3" x14ac:dyDescent="0.25">
      <c r="A270" s="48" t="s">
        <v>838</v>
      </c>
      <c r="B270" s="49">
        <v>7.6149999999999993</v>
      </c>
      <c r="C270" s="31" t="s">
        <v>567</v>
      </c>
    </row>
    <row r="271" spans="1:3" x14ac:dyDescent="0.25">
      <c r="A271" s="48" t="s">
        <v>839</v>
      </c>
      <c r="B271" s="49">
        <v>8.4966666666666661</v>
      </c>
      <c r="C271" s="31" t="s">
        <v>567</v>
      </c>
    </row>
    <row r="272" spans="1:3" x14ac:dyDescent="0.25">
      <c r="A272" s="48" t="s">
        <v>840</v>
      </c>
      <c r="B272" s="49">
        <v>9.081666666666667</v>
      </c>
      <c r="C272" s="31" t="s">
        <v>567</v>
      </c>
    </row>
    <row r="273" spans="1:3" x14ac:dyDescent="0.25">
      <c r="A273" s="34" t="s">
        <v>841</v>
      </c>
      <c r="B273" s="47">
        <v>9.6616666666666671</v>
      </c>
      <c r="C273" s="31" t="s">
        <v>567</v>
      </c>
    </row>
    <row r="274" spans="1:3" x14ac:dyDescent="0.25">
      <c r="A274" s="34" t="s">
        <v>842</v>
      </c>
      <c r="B274" s="47">
        <v>10.528333333333334</v>
      </c>
      <c r="C274" s="31" t="s">
        <v>567</v>
      </c>
    </row>
    <row r="275" spans="1:3" x14ac:dyDescent="0.25">
      <c r="A275" s="34" t="s">
        <v>843</v>
      </c>
      <c r="B275" s="47">
        <v>11.388333333333334</v>
      </c>
      <c r="C275" s="31" t="s">
        <v>567</v>
      </c>
    </row>
    <row r="276" spans="1:3" x14ac:dyDescent="0.25">
      <c r="A276" s="34" t="s">
        <v>844</v>
      </c>
      <c r="B276" s="47">
        <v>11.956666666666665</v>
      </c>
      <c r="C276" s="31" t="s">
        <v>567</v>
      </c>
    </row>
    <row r="277" spans="1:3" x14ac:dyDescent="0.25">
      <c r="A277" s="34" t="s">
        <v>845</v>
      </c>
      <c r="B277" s="47">
        <f>80.2/6</f>
        <v>13.366666666666667</v>
      </c>
      <c r="C277" s="31" t="s">
        <v>567</v>
      </c>
    </row>
    <row r="278" spans="1:3" x14ac:dyDescent="0.25">
      <c r="A278" s="34" t="s">
        <v>846</v>
      </c>
      <c r="B278" s="47" t="s">
        <v>569</v>
      </c>
      <c r="C278" s="31" t="s">
        <v>568</v>
      </c>
    </row>
    <row r="279" spans="1:3" x14ac:dyDescent="0.25">
      <c r="A279" s="34" t="s">
        <v>847</v>
      </c>
      <c r="B279" s="47">
        <v>9.5933333333333337</v>
      </c>
      <c r="C279" s="31" t="s">
        <v>567</v>
      </c>
    </row>
    <row r="280" spans="1:3" x14ac:dyDescent="0.25">
      <c r="A280" s="34" t="s">
        <v>848</v>
      </c>
      <c r="B280" s="47">
        <v>10.695</v>
      </c>
      <c r="C280" s="31" t="s">
        <v>567</v>
      </c>
    </row>
    <row r="281" spans="1:3" x14ac:dyDescent="0.25">
      <c r="A281" s="34" t="s">
        <v>849</v>
      </c>
      <c r="B281" s="47">
        <v>11.436666666666667</v>
      </c>
      <c r="C281" s="31" t="s">
        <v>567</v>
      </c>
    </row>
    <row r="282" spans="1:3" x14ac:dyDescent="0.25">
      <c r="A282" s="34" t="s">
        <v>850</v>
      </c>
      <c r="B282" s="47">
        <v>12.173333333333334</v>
      </c>
      <c r="C282" s="31" t="s">
        <v>567</v>
      </c>
    </row>
    <row r="283" spans="1:3" x14ac:dyDescent="0.25">
      <c r="A283" s="34" t="s">
        <v>851</v>
      </c>
      <c r="B283" s="47">
        <v>13.276666666666666</v>
      </c>
      <c r="C283" s="31" t="s">
        <v>567</v>
      </c>
    </row>
    <row r="284" spans="1:3" x14ac:dyDescent="0.25">
      <c r="A284" s="34" t="s">
        <v>852</v>
      </c>
      <c r="B284" s="47">
        <v>14.371666666666668</v>
      </c>
      <c r="C284" s="31" t="s">
        <v>567</v>
      </c>
    </row>
    <row r="285" spans="1:3" x14ac:dyDescent="0.25">
      <c r="A285" s="34" t="s">
        <v>853</v>
      </c>
      <c r="B285" s="47">
        <v>15.096666666666666</v>
      </c>
      <c r="C285" s="31" t="s">
        <v>567</v>
      </c>
    </row>
    <row r="286" spans="1:3" x14ac:dyDescent="0.25">
      <c r="A286" s="34" t="s">
        <v>854</v>
      </c>
      <c r="B286" s="47">
        <f>101.4/6</f>
        <v>16.900000000000002</v>
      </c>
      <c r="C286" s="31" t="s">
        <v>567</v>
      </c>
    </row>
    <row r="287" spans="1:3" x14ac:dyDescent="0.25">
      <c r="A287" s="34" t="s">
        <v>855</v>
      </c>
      <c r="B287" s="47" t="s">
        <v>569</v>
      </c>
      <c r="C287" s="31" t="s">
        <v>568</v>
      </c>
    </row>
    <row r="288" spans="1:3" x14ac:dyDescent="0.25">
      <c r="A288" s="34" t="s">
        <v>856</v>
      </c>
      <c r="B288" s="47">
        <v>11.54</v>
      </c>
      <c r="C288" s="31" t="s">
        <v>567</v>
      </c>
    </row>
    <row r="289" spans="1:3" x14ac:dyDescent="0.25">
      <c r="A289" s="34" t="s">
        <v>857</v>
      </c>
      <c r="B289" s="47">
        <v>12.893333333333333</v>
      </c>
      <c r="C289" s="31" t="s">
        <v>567</v>
      </c>
    </row>
    <row r="290" spans="1:3" x14ac:dyDescent="0.25">
      <c r="A290" s="34" t="s">
        <v>858</v>
      </c>
      <c r="B290" s="47">
        <v>13.791666666666666</v>
      </c>
      <c r="C290" s="31" t="s">
        <v>567</v>
      </c>
    </row>
    <row r="291" spans="1:3" x14ac:dyDescent="0.25">
      <c r="A291" s="34" t="s">
        <v>859</v>
      </c>
      <c r="B291" s="47">
        <v>14.686666666666667</v>
      </c>
      <c r="C291" s="31" t="s">
        <v>567</v>
      </c>
    </row>
    <row r="292" spans="1:3" x14ac:dyDescent="0.25">
      <c r="A292" s="34" t="s">
        <v>860</v>
      </c>
      <c r="B292" s="47">
        <v>16.023333333333333</v>
      </c>
      <c r="C292" s="31" t="s">
        <v>567</v>
      </c>
    </row>
    <row r="293" spans="1:3" x14ac:dyDescent="0.25">
      <c r="A293" s="34" t="s">
        <v>861</v>
      </c>
      <c r="B293" s="47">
        <v>17.353333333333335</v>
      </c>
      <c r="C293" s="31" t="s">
        <v>567</v>
      </c>
    </row>
    <row r="294" spans="1:3" x14ac:dyDescent="0.25">
      <c r="A294" s="34" t="s">
        <v>862</v>
      </c>
      <c r="B294" s="47">
        <v>18.236666666666668</v>
      </c>
      <c r="C294" s="31" t="s">
        <v>567</v>
      </c>
    </row>
    <row r="295" spans="1:3" x14ac:dyDescent="0.25">
      <c r="A295" s="34" t="s">
        <v>863</v>
      </c>
      <c r="B295" s="47">
        <v>20.431666666666668</v>
      </c>
      <c r="C295" s="31" t="s">
        <v>567</v>
      </c>
    </row>
    <row r="296" spans="1:3" x14ac:dyDescent="0.25">
      <c r="A296" s="34" t="s">
        <v>864</v>
      </c>
      <c r="B296" s="47">
        <v>24.516666666666666</v>
      </c>
      <c r="C296" s="31" t="s">
        <v>567</v>
      </c>
    </row>
    <row r="297" spans="1:3" x14ac:dyDescent="0.25">
      <c r="A297" s="34" t="s">
        <v>865</v>
      </c>
      <c r="B297" s="47">
        <v>27.496666666666666</v>
      </c>
      <c r="C297" s="31" t="s">
        <v>567</v>
      </c>
    </row>
    <row r="298" spans="1:3" x14ac:dyDescent="0.25">
      <c r="A298" s="34" t="s">
        <v>866</v>
      </c>
      <c r="B298" s="47">
        <v>30.458333333333332</v>
      </c>
      <c r="C298" s="31" t="s">
        <v>567</v>
      </c>
    </row>
    <row r="299" spans="1:3" x14ac:dyDescent="0.25">
      <c r="A299" s="34" t="s">
        <v>867</v>
      </c>
      <c r="B299" s="47">
        <v>33.4</v>
      </c>
      <c r="C299" s="31" t="s">
        <v>567</v>
      </c>
    </row>
    <row r="300" spans="1:3" x14ac:dyDescent="0.25">
      <c r="A300" s="34" t="s">
        <v>868</v>
      </c>
      <c r="B300" s="47">
        <v>36.323333333333331</v>
      </c>
      <c r="C300" s="31" t="s">
        <v>567</v>
      </c>
    </row>
    <row r="301" spans="1:3" x14ac:dyDescent="0.25">
      <c r="A301" s="34" t="s">
        <v>869</v>
      </c>
      <c r="B301" s="47">
        <v>39.228333333333332</v>
      </c>
      <c r="C301" s="31" t="s">
        <v>568</v>
      </c>
    </row>
    <row r="302" spans="1:3" x14ac:dyDescent="0.25">
      <c r="A302" s="34" t="s">
        <v>870</v>
      </c>
      <c r="B302" s="47">
        <v>42.113333333333337</v>
      </c>
      <c r="C302" s="31" t="s">
        <v>568</v>
      </c>
    </row>
    <row r="303" spans="1:3" x14ac:dyDescent="0.25">
      <c r="A303" s="34" t="s">
        <v>871</v>
      </c>
      <c r="B303" s="47">
        <v>44.98</v>
      </c>
      <c r="C303" s="31" t="s">
        <v>568</v>
      </c>
    </row>
    <row r="304" spans="1:3" x14ac:dyDescent="0.25">
      <c r="A304" s="34" t="s">
        <v>872</v>
      </c>
      <c r="B304" s="47">
        <v>47.82833333333334</v>
      </c>
      <c r="C304" s="31" t="s">
        <v>568</v>
      </c>
    </row>
    <row r="305" spans="1:3" x14ac:dyDescent="0.25">
      <c r="A305" s="34" t="s">
        <v>873</v>
      </c>
      <c r="B305" s="47">
        <v>50.658333333333331</v>
      </c>
      <c r="C305" s="31" t="s">
        <v>568</v>
      </c>
    </row>
    <row r="306" spans="1:3" x14ac:dyDescent="0.25">
      <c r="A306" s="34" t="s">
        <v>874</v>
      </c>
      <c r="B306" s="47">
        <v>53.468333333333334</v>
      </c>
      <c r="C306" s="31" t="s">
        <v>568</v>
      </c>
    </row>
    <row r="307" spans="1:3" x14ac:dyDescent="0.25">
      <c r="A307" s="34" t="s">
        <v>875</v>
      </c>
      <c r="B307" s="47">
        <v>56.26</v>
      </c>
      <c r="C307" s="31" t="s">
        <v>568</v>
      </c>
    </row>
    <row r="308" spans="1:3" x14ac:dyDescent="0.25">
      <c r="A308" s="34" t="s">
        <v>876</v>
      </c>
      <c r="B308" s="47">
        <v>59.031666666666666</v>
      </c>
      <c r="C308" s="31" t="s">
        <v>568</v>
      </c>
    </row>
    <row r="309" spans="1:3" x14ac:dyDescent="0.25">
      <c r="A309" s="34" t="s">
        <v>877</v>
      </c>
      <c r="B309" s="47">
        <v>30.796666666666667</v>
      </c>
      <c r="C309" s="31" t="s">
        <v>567</v>
      </c>
    </row>
    <row r="310" spans="1:3" x14ac:dyDescent="0.25">
      <c r="A310" s="34" t="s">
        <v>878</v>
      </c>
      <c r="B310" s="47">
        <v>34.561666666666667</v>
      </c>
      <c r="C310" s="31" t="s">
        <v>567</v>
      </c>
    </row>
    <row r="311" spans="1:3" x14ac:dyDescent="0.25">
      <c r="A311" s="34" t="s">
        <v>879</v>
      </c>
      <c r="B311" s="47">
        <v>38.30833333333333</v>
      </c>
      <c r="C311" s="31" t="s">
        <v>567</v>
      </c>
    </row>
    <row r="312" spans="1:3" x14ac:dyDescent="0.25">
      <c r="A312" s="34" t="s">
        <v>880</v>
      </c>
      <c r="B312" s="47">
        <v>42.035000000000004</v>
      </c>
      <c r="C312" s="31" t="s">
        <v>567</v>
      </c>
    </row>
    <row r="313" spans="1:3" x14ac:dyDescent="0.25">
      <c r="A313" s="34" t="s">
        <v>881</v>
      </c>
      <c r="B313" s="47">
        <v>45.743333333333332</v>
      </c>
      <c r="C313" s="31" t="s">
        <v>567</v>
      </c>
    </row>
    <row r="314" spans="1:3" x14ac:dyDescent="0.25">
      <c r="A314" s="34" t="s">
        <v>882</v>
      </c>
      <c r="B314" s="47">
        <v>49.433333333333337</v>
      </c>
      <c r="C314" s="31" t="s">
        <v>568</v>
      </c>
    </row>
    <row r="315" spans="1:3" x14ac:dyDescent="0.25">
      <c r="A315" s="34" t="s">
        <v>883</v>
      </c>
      <c r="B315" s="47">
        <v>53.103333333333332</v>
      </c>
      <c r="C315" s="31" t="s">
        <v>568</v>
      </c>
    </row>
    <row r="316" spans="1:3" x14ac:dyDescent="0.25">
      <c r="A316" s="34" t="s">
        <v>884</v>
      </c>
      <c r="B316" s="47">
        <v>56.754999999999995</v>
      </c>
      <c r="C316" s="31" t="s">
        <v>568</v>
      </c>
    </row>
    <row r="317" spans="1:3" x14ac:dyDescent="0.25">
      <c r="A317" s="34" t="s">
        <v>885</v>
      </c>
      <c r="B317" s="47">
        <v>60.388333333333328</v>
      </c>
      <c r="C317" s="31" t="s">
        <v>568</v>
      </c>
    </row>
    <row r="318" spans="1:3" x14ac:dyDescent="0.25">
      <c r="A318" s="34" t="s">
        <v>886</v>
      </c>
      <c r="B318" s="47">
        <v>64.00333333333333</v>
      </c>
      <c r="C318" s="31" t="s">
        <v>568</v>
      </c>
    </row>
    <row r="319" spans="1:3" x14ac:dyDescent="0.25">
      <c r="A319" s="34" t="s">
        <v>887</v>
      </c>
      <c r="B319" s="47">
        <v>67.598333333333329</v>
      </c>
      <c r="C319" s="31" t="s">
        <v>568</v>
      </c>
    </row>
    <row r="320" spans="1:3" x14ac:dyDescent="0.25">
      <c r="A320" s="34" t="s">
        <v>888</v>
      </c>
      <c r="B320" s="47">
        <v>71.174999999999997</v>
      </c>
      <c r="C320" s="31" t="s">
        <v>568</v>
      </c>
    </row>
    <row r="321" spans="1:3" x14ac:dyDescent="0.25">
      <c r="A321" s="34" t="s">
        <v>889</v>
      </c>
      <c r="B321" s="47">
        <v>74.731666666666669</v>
      </c>
      <c r="C321" s="31" t="s">
        <v>568</v>
      </c>
    </row>
  </sheetData>
  <conditionalFormatting sqref="C2:C321">
    <cfRule type="cellIs" dxfId="2" priority="1" operator="equal">
      <formula>"Có hàng"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 lib</vt:lpstr>
      <vt:lpstr>U lib</vt:lpstr>
      <vt:lpstr>HINH_VN</vt:lpstr>
      <vt:lpstr>Ong,Hop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2026-06-02T09:41:09Z</dcterms:modified>
</cp:coreProperties>
</file>